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ZEN\IT_M\lab_2\"/>
    </mc:Choice>
  </mc:AlternateContent>
  <xr:revisionPtr revIDLastSave="0" documentId="13_ncr:1_{7F358E13-B0F9-40DD-BD0D-4D1E57504071}" xr6:coauthVersionLast="47" xr6:coauthVersionMax="47" xr10:uidLastSave="{00000000-0000-0000-0000-000000000000}"/>
  <bookViews>
    <workbookView xWindow="-98" yWindow="-98" windowWidth="23236" windowHeight="13875" activeTab="5" xr2:uid="{7A17A09C-578F-43FB-889D-CC2B9D1FDF1F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Задача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1" i="6" l="1" a="1"/>
  <c r="W11" i="6" s="1"/>
  <c r="P11" i="6" a="1"/>
  <c r="P11" i="6" s="1"/>
  <c r="K11" i="6" a="1"/>
  <c r="K11" i="6" s="1"/>
  <c r="G11" i="6" a="1"/>
  <c r="G11" i="6" s="1"/>
  <c r="A11" i="6" a="1"/>
  <c r="A11" i="6" s="1"/>
  <c r="E10" i="5"/>
  <c r="D10" i="5"/>
  <c r="C10" i="5"/>
  <c r="B10" i="5"/>
  <c r="A10" i="5"/>
  <c r="AA10" i="4" a="1"/>
  <c r="AA10" i="4" s="1"/>
  <c r="W10" i="4" a="1"/>
  <c r="W10" i="4" s="1"/>
  <c r="S10" i="4" a="1"/>
  <c r="S10" i="4" s="1"/>
  <c r="M10" i="4" a="1"/>
  <c r="M10" i="4" s="1"/>
  <c r="G10" i="4" a="1"/>
  <c r="G10" i="4" s="1"/>
  <c r="A10" i="4" a="1"/>
  <c r="A10" i="4" s="1"/>
  <c r="T11" i="3" a="1"/>
  <c r="T11" i="3" s="1"/>
  <c r="Q11" i="3" a="1"/>
  <c r="Q11" i="3" s="1"/>
  <c r="K11" i="3" a="1"/>
  <c r="K11" i="3" s="1"/>
  <c r="G11" i="3" a="1"/>
  <c r="G11" i="3" s="1"/>
  <c r="A11" i="3" a="1"/>
  <c r="A11" i="3" s="1"/>
  <c r="A33" i="2" a="1"/>
  <c r="A33" i="2" s="1"/>
  <c r="A24" i="2" a="1"/>
  <c r="A24" i="2" s="1"/>
  <c r="A16" i="2" a="1"/>
  <c r="A16" i="2" s="1"/>
  <c r="A9" i="2" a="1"/>
  <c r="A9" i="2" s="1"/>
  <c r="A3" i="2" a="1"/>
  <c r="A3" i="2" s="1"/>
  <c r="I24" i="1" a="1"/>
  <c r="I24" i="1" s="1"/>
  <c r="E24" i="1" a="1"/>
  <c r="E24" i="1" s="1"/>
  <c r="A24" i="1" a="1"/>
  <c r="A24" i="1" s="1"/>
  <c r="Q15" i="1" a="1"/>
  <c r="Q15" i="1" s="1"/>
  <c r="M15" i="1" a="1"/>
  <c r="M15" i="1" s="1"/>
  <c r="I15" i="1" a="1"/>
  <c r="I15" i="1" s="1"/>
  <c r="E15" i="1" a="1"/>
  <c r="E15" i="1" s="1"/>
  <c r="A15" i="1" a="1"/>
  <c r="A15" i="1" s="1"/>
  <c r="Q9" i="1" a="1"/>
  <c r="Q9" i="1" s="1"/>
  <c r="M9" i="1" a="1"/>
  <c r="M9" i="1" s="1"/>
  <c r="I9" i="1" a="1"/>
  <c r="I9" i="1" s="1"/>
  <c r="E9" i="1" a="1"/>
  <c r="E9" i="1" s="1"/>
  <c r="A9" i="1" a="1"/>
  <c r="A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<sst xmlns="http://schemas.openxmlformats.org/spreadsheetml/2006/main" count="69" uniqueCount="48">
  <si>
    <t>Матрица A</t>
  </si>
  <si>
    <t>Матрица B</t>
  </si>
  <si>
    <t>Матрица C</t>
  </si>
  <si>
    <t>Матрица D</t>
  </si>
  <si>
    <t>Матрица E</t>
  </si>
  <si>
    <t>A+B</t>
  </si>
  <si>
    <t>A+C</t>
  </si>
  <si>
    <t>A+D</t>
  </si>
  <si>
    <t>C+E</t>
  </si>
  <si>
    <t>D+E</t>
  </si>
  <si>
    <t>A-B</t>
  </si>
  <si>
    <t>A-C</t>
  </si>
  <si>
    <t>A-D</t>
  </si>
  <si>
    <t>C-E</t>
  </si>
  <si>
    <t>D-E</t>
  </si>
  <si>
    <t>x</t>
  </si>
  <si>
    <t>y</t>
  </si>
  <si>
    <t>z</t>
  </si>
  <si>
    <t>xA</t>
  </si>
  <si>
    <t>y(A+C)</t>
  </si>
  <si>
    <t>z(A-D)</t>
  </si>
  <si>
    <t>Единичная матрица 3</t>
  </si>
  <si>
    <t>Единичная матрица 4</t>
  </si>
  <si>
    <t>Единичная матрица 5</t>
  </si>
  <si>
    <t>Единичная матрица 6</t>
  </si>
  <si>
    <t>Единичная матрица 8</t>
  </si>
  <si>
    <t>A*B</t>
  </si>
  <si>
    <t>A*C</t>
  </si>
  <si>
    <t>D*B</t>
  </si>
  <si>
    <t>Матрица F</t>
  </si>
  <si>
    <t>C*E</t>
  </si>
  <si>
    <t>D*F</t>
  </si>
  <si>
    <t>A^T</t>
  </si>
  <si>
    <t>B^T</t>
  </si>
  <si>
    <t>C^T</t>
  </si>
  <si>
    <t>D^T</t>
  </si>
  <si>
    <t>E^T</t>
  </si>
  <si>
    <t>F^T</t>
  </si>
  <si>
    <t>опр(A)</t>
  </si>
  <si>
    <t>опр(B)</t>
  </si>
  <si>
    <t>опр(C)</t>
  </si>
  <si>
    <t>опр(D)</t>
  </si>
  <si>
    <t>опр(E)</t>
  </si>
  <si>
    <t>A^-1</t>
  </si>
  <si>
    <t>B^-1</t>
  </si>
  <si>
    <t>C^-1</t>
  </si>
  <si>
    <t>D^-1</t>
  </si>
  <si>
    <t>E^-1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</si>
</sst>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2E8C-1D51-4E09-A0B6-2A4262E03A5C}">
  <dimension ref="A1:S26"/>
  <sheetViews>
    <sheetView zoomScaleNormal="100" workbookViewId="0">
      <selection activeCell="D30" sqref="D30"/>
    </sheetView>
  </sheetViews>
  <sheetFormatPr defaultRowHeight="15.4" x14ac:dyDescent="0.45"/>
  <cols>
    <col min="1" max="16384" width="9.06640625" style="1"/>
  </cols>
  <sheetData>
    <row r="1" spans="1:19" x14ac:dyDescent="0.45">
      <c r="A1" s="2" t="s">
        <v>0</v>
      </c>
      <c r="E1" s="2" t="s">
        <v>1</v>
      </c>
      <c r="I1" s="2" t="s">
        <v>2</v>
      </c>
      <c r="M1" s="2" t="s">
        <v>3</v>
      </c>
      <c r="Q1" s="2" t="s">
        <v>4</v>
      </c>
    </row>
    <row r="3" spans="1:19" x14ac:dyDescent="0.45">
      <c r="A3" s="3">
        <v>1</v>
      </c>
      <c r="B3" s="3">
        <v>6</v>
      </c>
      <c r="C3" s="3">
        <v>3</v>
      </c>
      <c r="E3" s="3">
        <v>0</v>
      </c>
      <c r="F3" s="3">
        <v>-5</v>
      </c>
      <c r="G3" s="3">
        <v>2</v>
      </c>
      <c r="I3" s="3">
        <v>-2</v>
      </c>
      <c r="J3" s="3">
        <v>1</v>
      </c>
      <c r="K3" s="3">
        <v>2</v>
      </c>
      <c r="M3" s="3">
        <v>0</v>
      </c>
      <c r="N3" s="3">
        <v>2</v>
      </c>
      <c r="O3" s="3">
        <v>5</v>
      </c>
      <c r="Q3" s="3">
        <v>6</v>
      </c>
      <c r="R3" s="3">
        <v>1</v>
      </c>
      <c r="S3" s="3">
        <v>-5</v>
      </c>
    </row>
    <row r="4" spans="1:19" x14ac:dyDescent="0.45">
      <c r="A4" s="3">
        <v>4</v>
      </c>
      <c r="B4" s="3">
        <v>9</v>
      </c>
      <c r="C4" s="3">
        <v>7</v>
      </c>
      <c r="E4" s="3">
        <v>1</v>
      </c>
      <c r="F4" s="3">
        <v>3</v>
      </c>
      <c r="G4" s="3">
        <v>3</v>
      </c>
      <c r="I4" s="3">
        <v>12</v>
      </c>
      <c r="J4" s="3">
        <v>8</v>
      </c>
      <c r="K4" s="3">
        <v>3</v>
      </c>
      <c r="M4" s="3">
        <v>8</v>
      </c>
      <c r="N4" s="3">
        <v>1</v>
      </c>
      <c r="O4" s="3">
        <v>-3</v>
      </c>
      <c r="Q4" s="3">
        <v>-2</v>
      </c>
      <c r="R4" s="3">
        <v>4</v>
      </c>
      <c r="S4" s="3">
        <v>1</v>
      </c>
    </row>
    <row r="5" spans="1:19" x14ac:dyDescent="0.45">
      <c r="A5" s="3">
        <v>6</v>
      </c>
      <c r="B5" s="3">
        <v>6</v>
      </c>
      <c r="C5" s="3">
        <v>2</v>
      </c>
      <c r="E5" s="3">
        <v>-8</v>
      </c>
      <c r="F5" s="3">
        <v>2</v>
      </c>
      <c r="G5" s="3">
        <v>7</v>
      </c>
      <c r="I5" s="3">
        <v>-9</v>
      </c>
      <c r="J5" s="3">
        <v>-1</v>
      </c>
      <c r="K5" s="3">
        <v>-5</v>
      </c>
      <c r="M5" s="3">
        <v>4</v>
      </c>
      <c r="N5" s="3">
        <v>0</v>
      </c>
      <c r="O5" s="3">
        <v>1</v>
      </c>
      <c r="Q5" s="3">
        <v>3</v>
      </c>
      <c r="R5" s="3">
        <v>7</v>
      </c>
      <c r="S5" s="3">
        <v>10</v>
      </c>
    </row>
    <row r="7" spans="1:19" x14ac:dyDescent="0.45">
      <c r="A7" s="1" t="s">
        <v>5</v>
      </c>
      <c r="E7" s="1" t="s">
        <v>6</v>
      </c>
      <c r="I7" s="1" t="s">
        <v>7</v>
      </c>
      <c r="M7" s="1" t="s">
        <v>8</v>
      </c>
      <c r="Q7" s="1" t="s">
        <v>9</v>
      </c>
    </row>
    <row r="9" spans="1:19" x14ac:dyDescent="0.45">
      <c r="A9" s="3" cm="1">
        <f t="array" ref="A9:C11">A3:C5+E3:G5</f>
        <v>1</v>
      </c>
      <c r="B9" s="3">
        <v>1</v>
      </c>
      <c r="C9" s="3">
        <v>5</v>
      </c>
      <c r="E9" s="3" cm="1">
        <f t="array" ref="E9:G11">A3:C5+I3:K5</f>
        <v>-1</v>
      </c>
      <c r="F9" s="3">
        <v>7</v>
      </c>
      <c r="G9" s="3">
        <v>5</v>
      </c>
      <c r="I9" s="3" cm="1">
        <f t="array" ref="I9:K11">A3:C5+M3:O5</f>
        <v>1</v>
      </c>
      <c r="J9" s="3">
        <v>8</v>
      </c>
      <c r="K9" s="3">
        <v>8</v>
      </c>
      <c r="M9" s="3" cm="1">
        <f t="array" ref="M9:O11">I3:K5+Q3:S5</f>
        <v>4</v>
      </c>
      <c r="N9" s="3">
        <v>2</v>
      </c>
      <c r="O9" s="3">
        <v>-3</v>
      </c>
      <c r="Q9" s="3" cm="1">
        <f t="array" ref="Q9:S11">M3:O5+Q3:S5</f>
        <v>6</v>
      </c>
      <c r="R9" s="3">
        <v>3</v>
      </c>
      <c r="S9" s="3">
        <v>0</v>
      </c>
    </row>
    <row r="10" spans="1:19" x14ac:dyDescent="0.45">
      <c r="A10" s="3">
        <v>5</v>
      </c>
      <c r="B10" s="3">
        <v>12</v>
      </c>
      <c r="C10" s="3">
        <v>10</v>
      </c>
      <c r="E10" s="3">
        <v>16</v>
      </c>
      <c r="F10" s="3">
        <v>17</v>
      </c>
      <c r="G10" s="3">
        <v>10</v>
      </c>
      <c r="I10" s="3">
        <v>12</v>
      </c>
      <c r="J10" s="3">
        <v>10</v>
      </c>
      <c r="K10" s="3">
        <v>4</v>
      </c>
      <c r="M10" s="3">
        <v>10</v>
      </c>
      <c r="N10" s="3">
        <v>12</v>
      </c>
      <c r="O10" s="3">
        <v>4</v>
      </c>
      <c r="Q10" s="3">
        <v>6</v>
      </c>
      <c r="R10" s="3">
        <v>5</v>
      </c>
      <c r="S10" s="3">
        <v>-2</v>
      </c>
    </row>
    <row r="11" spans="1:19" x14ac:dyDescent="0.45">
      <c r="A11" s="3">
        <v>-2</v>
      </c>
      <c r="B11" s="3">
        <v>8</v>
      </c>
      <c r="C11" s="3">
        <v>9</v>
      </c>
      <c r="E11" s="3">
        <v>-3</v>
      </c>
      <c r="F11" s="3">
        <v>5</v>
      </c>
      <c r="G11" s="3">
        <v>-3</v>
      </c>
      <c r="I11" s="3">
        <v>10</v>
      </c>
      <c r="J11" s="3">
        <v>6</v>
      </c>
      <c r="K11" s="3">
        <v>3</v>
      </c>
      <c r="M11" s="3">
        <v>-6</v>
      </c>
      <c r="N11" s="3">
        <v>6</v>
      </c>
      <c r="O11" s="3">
        <v>5</v>
      </c>
      <c r="Q11" s="3">
        <v>7</v>
      </c>
      <c r="R11" s="3">
        <v>7</v>
      </c>
      <c r="S11" s="3">
        <v>11</v>
      </c>
    </row>
    <row r="13" spans="1:19" x14ac:dyDescent="0.45">
      <c r="A13" s="1" t="s">
        <v>10</v>
      </c>
      <c r="E13" s="1" t="s">
        <v>11</v>
      </c>
      <c r="I13" s="1" t="s">
        <v>12</v>
      </c>
      <c r="M13" s="1" t="s">
        <v>13</v>
      </c>
      <c r="Q13" s="1" t="s">
        <v>14</v>
      </c>
    </row>
    <row r="15" spans="1:19" x14ac:dyDescent="0.45">
      <c r="A15" s="3" cm="1">
        <f t="array" ref="A15:C17">A3:C5-E3:G5</f>
        <v>1</v>
      </c>
      <c r="B15" s="3">
        <v>11</v>
      </c>
      <c r="C15" s="3">
        <v>1</v>
      </c>
      <c r="E15" s="3" cm="1">
        <f t="array" ref="E15:G17">A3:C5-I3:K5</f>
        <v>3</v>
      </c>
      <c r="F15" s="3">
        <v>5</v>
      </c>
      <c r="G15" s="3">
        <v>1</v>
      </c>
      <c r="I15" s="3" cm="1">
        <f t="array" ref="I15:K17">A3:C5-M3:O5</f>
        <v>1</v>
      </c>
      <c r="J15" s="3">
        <v>4</v>
      </c>
      <c r="K15" s="3">
        <v>-2</v>
      </c>
      <c r="M15" s="3" cm="1">
        <f t="array" ref="M15:O17">I3:K5-Q3:S5</f>
        <v>-8</v>
      </c>
      <c r="N15" s="3">
        <v>0</v>
      </c>
      <c r="O15" s="3">
        <v>7</v>
      </c>
      <c r="Q15" s="3" cm="1">
        <f t="array" ref="Q15:S17">M3:O5-Q3:S5</f>
        <v>-6</v>
      </c>
      <c r="R15" s="3">
        <v>1</v>
      </c>
      <c r="S15" s="3">
        <v>10</v>
      </c>
    </row>
    <row r="16" spans="1:19" x14ac:dyDescent="0.45">
      <c r="A16" s="3">
        <v>3</v>
      </c>
      <c r="B16" s="3">
        <v>6</v>
      </c>
      <c r="C16" s="3">
        <v>4</v>
      </c>
      <c r="E16" s="3">
        <v>-8</v>
      </c>
      <c r="F16" s="3">
        <v>1</v>
      </c>
      <c r="G16" s="3">
        <v>4</v>
      </c>
      <c r="I16" s="3">
        <v>-4</v>
      </c>
      <c r="J16" s="3">
        <v>8</v>
      </c>
      <c r="K16" s="3">
        <v>10</v>
      </c>
      <c r="M16" s="3">
        <v>14</v>
      </c>
      <c r="N16" s="3">
        <v>4</v>
      </c>
      <c r="O16" s="3">
        <v>2</v>
      </c>
      <c r="Q16" s="3">
        <v>10</v>
      </c>
      <c r="R16" s="3">
        <v>-3</v>
      </c>
      <c r="S16" s="3">
        <v>-4</v>
      </c>
    </row>
    <row r="17" spans="1:19" x14ac:dyDescent="0.45">
      <c r="A17" s="3">
        <v>14</v>
      </c>
      <c r="B17" s="3">
        <v>4</v>
      </c>
      <c r="C17" s="3">
        <v>-5</v>
      </c>
      <c r="E17" s="3">
        <v>15</v>
      </c>
      <c r="F17" s="3">
        <v>7</v>
      </c>
      <c r="G17" s="3">
        <v>7</v>
      </c>
      <c r="I17" s="3">
        <v>2</v>
      </c>
      <c r="J17" s="3">
        <v>6</v>
      </c>
      <c r="K17" s="3">
        <v>1</v>
      </c>
      <c r="M17" s="3">
        <v>-12</v>
      </c>
      <c r="N17" s="3">
        <v>-8</v>
      </c>
      <c r="O17" s="3">
        <v>-15</v>
      </c>
      <c r="Q17" s="3">
        <v>1</v>
      </c>
      <c r="R17" s="3">
        <v>-7</v>
      </c>
      <c r="S17" s="3">
        <v>-9</v>
      </c>
    </row>
    <row r="19" spans="1:19" x14ac:dyDescent="0.45">
      <c r="A19" s="1" t="s">
        <v>15</v>
      </c>
      <c r="B19" s="1" t="s">
        <v>16</v>
      </c>
      <c r="C19" s="1" t="s">
        <v>17</v>
      </c>
    </row>
    <row r="20" spans="1:19" x14ac:dyDescent="0.45">
      <c r="A20" s="3">
        <v>5</v>
      </c>
      <c r="B20" s="3">
        <v>-3</v>
      </c>
      <c r="C20" s="3">
        <v>0.5</v>
      </c>
    </row>
    <row r="22" spans="1:19" x14ac:dyDescent="0.45">
      <c r="A22" s="1" t="s">
        <v>18</v>
      </c>
      <c r="E22" s="1" t="s">
        <v>19</v>
      </c>
      <c r="I22" s="1" t="s">
        <v>20</v>
      </c>
    </row>
    <row r="24" spans="1:19" x14ac:dyDescent="0.45">
      <c r="A24" s="3" cm="1">
        <f t="array" ref="A24:C26">$A$20*A3:C5</f>
        <v>5</v>
      </c>
      <c r="B24" s="3">
        <v>30</v>
      </c>
      <c r="C24" s="3">
        <v>15</v>
      </c>
      <c r="E24" s="3" cm="1">
        <f t="array" ref="E24:G26">$B$20*_xlfn.ANCHORARRAY(E9)</f>
        <v>3</v>
      </c>
      <c r="F24" s="3">
        <v>-21</v>
      </c>
      <c r="G24" s="3">
        <v>-15</v>
      </c>
      <c r="I24" s="3" cm="1">
        <f t="array" ref="I24:K26">$C$20*_xlfn.ANCHORARRAY(I15)</f>
        <v>0.5</v>
      </c>
      <c r="J24" s="3">
        <v>2</v>
      </c>
      <c r="K24" s="3">
        <v>-1</v>
      </c>
    </row>
    <row r="25" spans="1:19" x14ac:dyDescent="0.45">
      <c r="A25" s="3">
        <v>20</v>
      </c>
      <c r="B25" s="3">
        <v>45</v>
      </c>
      <c r="C25" s="3">
        <v>35</v>
      </c>
      <c r="E25" s="3">
        <v>-48</v>
      </c>
      <c r="F25" s="3">
        <v>-51</v>
      </c>
      <c r="G25" s="3">
        <v>-30</v>
      </c>
      <c r="I25" s="3">
        <v>-2</v>
      </c>
      <c r="J25" s="3">
        <v>4</v>
      </c>
      <c r="K25" s="3">
        <v>5</v>
      </c>
    </row>
    <row r="26" spans="1:19" x14ac:dyDescent="0.45">
      <c r="A26" s="3">
        <v>30</v>
      </c>
      <c r="B26" s="3">
        <v>30</v>
      </c>
      <c r="C26" s="3">
        <v>10</v>
      </c>
      <c r="E26" s="3">
        <v>9</v>
      </c>
      <c r="F26" s="3">
        <v>-15</v>
      </c>
      <c r="G26" s="3">
        <v>9</v>
      </c>
      <c r="I26" s="3">
        <v>1</v>
      </c>
      <c r="J26" s="3">
        <v>3</v>
      </c>
      <c r="K26" s="3">
        <v>0.5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0811-62FB-4F69-8EA0-845CF921AABD}">
  <dimension ref="A1:H40"/>
  <sheetViews>
    <sheetView topLeftCell="A15" zoomScaleNormal="100" workbookViewId="0">
      <selection activeCell="E32" sqref="E32"/>
    </sheetView>
  </sheetViews>
  <sheetFormatPr defaultRowHeight="15.4" x14ac:dyDescent="0.45"/>
  <cols>
    <col min="1" max="16384" width="9.06640625" style="1"/>
  </cols>
  <sheetData>
    <row r="1" spans="1:5" x14ac:dyDescent="0.45">
      <c r="A1" s="2" t="s">
        <v>21</v>
      </c>
    </row>
    <row r="3" spans="1:5" x14ac:dyDescent="0.45">
      <c r="A3" s="3" cm="1">
        <f t="array" ref="A3:C5">_xlfn.MUNIT(3)</f>
        <v>1</v>
      </c>
      <c r="B3" s="3">
        <v>0</v>
      </c>
      <c r="C3" s="3">
        <v>0</v>
      </c>
    </row>
    <row r="4" spans="1:5" x14ac:dyDescent="0.45">
      <c r="A4" s="3">
        <v>0</v>
      </c>
      <c r="B4" s="3">
        <v>1</v>
      </c>
      <c r="C4" s="3">
        <v>0</v>
      </c>
    </row>
    <row r="5" spans="1:5" x14ac:dyDescent="0.45">
      <c r="A5" s="3">
        <v>0</v>
      </c>
      <c r="B5" s="3">
        <v>0</v>
      </c>
      <c r="C5" s="3">
        <v>1</v>
      </c>
    </row>
    <row r="7" spans="1:5" x14ac:dyDescent="0.45">
      <c r="A7" s="2" t="s">
        <v>22</v>
      </c>
    </row>
    <row r="9" spans="1:5" x14ac:dyDescent="0.45">
      <c r="A9" s="3" cm="1">
        <f t="array" ref="A9:D12">_xlfn.MUNIT(4)</f>
        <v>1</v>
      </c>
      <c r="B9" s="3">
        <v>0</v>
      </c>
      <c r="C9" s="3">
        <v>0</v>
      </c>
      <c r="D9" s="3">
        <v>0</v>
      </c>
    </row>
    <row r="10" spans="1:5" x14ac:dyDescent="0.45">
      <c r="A10" s="3">
        <v>0</v>
      </c>
      <c r="B10" s="3">
        <v>1</v>
      </c>
      <c r="C10" s="3">
        <v>0</v>
      </c>
      <c r="D10" s="3">
        <v>0</v>
      </c>
    </row>
    <row r="11" spans="1:5" x14ac:dyDescent="0.45">
      <c r="A11" s="3">
        <v>0</v>
      </c>
      <c r="B11" s="3">
        <v>0</v>
      </c>
      <c r="C11" s="3">
        <v>1</v>
      </c>
      <c r="D11" s="3">
        <v>0</v>
      </c>
    </row>
    <row r="12" spans="1:5" x14ac:dyDescent="0.45">
      <c r="A12" s="3">
        <v>0</v>
      </c>
      <c r="B12" s="3">
        <v>0</v>
      </c>
      <c r="C12" s="3">
        <v>0</v>
      </c>
      <c r="D12" s="3">
        <v>1</v>
      </c>
    </row>
    <row r="14" spans="1:5" x14ac:dyDescent="0.45">
      <c r="A14" s="2" t="s">
        <v>23</v>
      </c>
    </row>
    <row r="16" spans="1:5" x14ac:dyDescent="0.45">
      <c r="A16" s="3" cm="1">
        <f t="array" ref="A16:E20">_xlfn.MUNIT(5)</f>
        <v>1</v>
      </c>
      <c r="B16" s="3">
        <v>0</v>
      </c>
      <c r="C16" s="3">
        <v>0</v>
      </c>
      <c r="D16" s="3">
        <v>0</v>
      </c>
      <c r="E16" s="3">
        <v>0</v>
      </c>
    </row>
    <row r="17" spans="1:6" x14ac:dyDescent="0.45">
      <c r="A17" s="3">
        <v>0</v>
      </c>
      <c r="B17" s="3">
        <v>1</v>
      </c>
      <c r="C17" s="3">
        <v>0</v>
      </c>
      <c r="D17" s="3">
        <v>0</v>
      </c>
      <c r="E17" s="3">
        <v>0</v>
      </c>
    </row>
    <row r="18" spans="1:6" x14ac:dyDescent="0.45">
      <c r="A18" s="3">
        <v>0</v>
      </c>
      <c r="B18" s="3">
        <v>0</v>
      </c>
      <c r="C18" s="3">
        <v>1</v>
      </c>
      <c r="D18" s="3">
        <v>0</v>
      </c>
      <c r="E18" s="3">
        <v>0</v>
      </c>
    </row>
    <row r="19" spans="1:6" x14ac:dyDescent="0.45">
      <c r="A19" s="3">
        <v>0</v>
      </c>
      <c r="B19" s="3">
        <v>0</v>
      </c>
      <c r="C19" s="3">
        <v>0</v>
      </c>
      <c r="D19" s="3">
        <v>1</v>
      </c>
      <c r="E19" s="3">
        <v>0</v>
      </c>
    </row>
    <row r="20" spans="1:6" x14ac:dyDescent="0.45">
      <c r="A20" s="3">
        <v>0</v>
      </c>
      <c r="B20" s="3">
        <v>0</v>
      </c>
      <c r="C20" s="3">
        <v>0</v>
      </c>
      <c r="D20" s="3">
        <v>0</v>
      </c>
      <c r="E20" s="3">
        <v>1</v>
      </c>
    </row>
    <row r="22" spans="1:6" x14ac:dyDescent="0.45">
      <c r="A22" s="2" t="s">
        <v>24</v>
      </c>
    </row>
    <row r="24" spans="1:6" x14ac:dyDescent="0.45">
      <c r="A24" s="3" cm="1">
        <f t="array" ref="A24:F29">_xlfn.MUNIT(6)</f>
        <v>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x14ac:dyDescent="0.45">
      <c r="A25" s="3">
        <v>0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</row>
    <row r="26" spans="1:6" x14ac:dyDescent="0.45">
      <c r="A26" s="3">
        <v>0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</row>
    <row r="27" spans="1:6" x14ac:dyDescent="0.45">
      <c r="A27" s="3">
        <v>0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</row>
    <row r="28" spans="1:6" x14ac:dyDescent="0.45">
      <c r="A28" s="3">
        <v>0</v>
      </c>
      <c r="B28" s="3">
        <v>0</v>
      </c>
      <c r="C28" s="3">
        <v>0</v>
      </c>
      <c r="D28" s="3">
        <v>0</v>
      </c>
      <c r="E28" s="3">
        <v>1</v>
      </c>
      <c r="F28" s="3">
        <v>0</v>
      </c>
    </row>
    <row r="29" spans="1:6" x14ac:dyDescent="0.45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1</v>
      </c>
    </row>
    <row r="31" spans="1:6" x14ac:dyDescent="0.45">
      <c r="A31" s="2" t="s">
        <v>25</v>
      </c>
    </row>
    <row r="33" spans="1:8" x14ac:dyDescent="0.45">
      <c r="A33" s="3" cm="1">
        <f t="array" ref="A33:H40">_xlfn.MUNIT(8)</f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</row>
    <row r="34" spans="1:8" x14ac:dyDescent="0.45">
      <c r="A34" s="3">
        <v>0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</row>
    <row r="35" spans="1:8" x14ac:dyDescent="0.45">
      <c r="A35" s="3">
        <v>0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</row>
    <row r="36" spans="1:8" x14ac:dyDescent="0.45">
      <c r="A36" s="3">
        <v>0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</row>
    <row r="37" spans="1:8" x14ac:dyDescent="0.45">
      <c r="A37" s="3">
        <v>0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0</v>
      </c>
    </row>
    <row r="38" spans="1:8" x14ac:dyDescent="0.4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</row>
    <row r="39" spans="1:8" x14ac:dyDescent="0.45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</row>
    <row r="40" spans="1:8" x14ac:dyDescent="0.45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DAF1-F460-4B87-ABB5-EACEB11552BA}">
  <dimension ref="A1:AB15"/>
  <sheetViews>
    <sheetView zoomScaleNormal="100" workbookViewId="0">
      <selection sqref="A1:AB7"/>
    </sheetView>
  </sheetViews>
  <sheetFormatPr defaultRowHeight="15.4" x14ac:dyDescent="0.45"/>
  <cols>
    <col min="1" max="16384" width="9.06640625" style="1"/>
  </cols>
  <sheetData>
    <row r="1" spans="1:28" x14ac:dyDescent="0.45">
      <c r="A1" s="2" t="s">
        <v>0</v>
      </c>
      <c r="G1" s="2" t="s">
        <v>1</v>
      </c>
      <c r="M1" s="2" t="s">
        <v>2</v>
      </c>
      <c r="Q1" s="2" t="s">
        <v>3</v>
      </c>
      <c r="W1" s="2" t="s">
        <v>4</v>
      </c>
      <c r="Z1" s="2" t="s">
        <v>29</v>
      </c>
    </row>
    <row r="2" spans="1:28" x14ac:dyDescent="0.45">
      <c r="G2" s="2"/>
    </row>
    <row r="3" spans="1:28" x14ac:dyDescent="0.45">
      <c r="A3" s="3">
        <v>1</v>
      </c>
      <c r="B3" s="3">
        <v>5</v>
      </c>
      <c r="C3" s="3">
        <v>-2</v>
      </c>
      <c r="D3" s="3">
        <v>9</v>
      </c>
      <c r="E3" s="3">
        <v>6</v>
      </c>
      <c r="G3" s="3">
        <v>2</v>
      </c>
      <c r="H3" s="3">
        <v>1</v>
      </c>
      <c r="I3" s="3">
        <v>3</v>
      </c>
      <c r="J3" s="3">
        <v>2</v>
      </c>
      <c r="K3" s="3">
        <v>1</v>
      </c>
      <c r="M3" s="3">
        <v>2</v>
      </c>
      <c r="N3" s="3">
        <v>1</v>
      </c>
      <c r="O3" s="3">
        <v>8</v>
      </c>
      <c r="Q3" s="3">
        <v>-5</v>
      </c>
      <c r="R3" s="3">
        <v>4</v>
      </c>
      <c r="S3" s="3">
        <v>-3</v>
      </c>
      <c r="T3" s="3">
        <v>2</v>
      </c>
      <c r="U3" s="3">
        <v>-1</v>
      </c>
      <c r="W3" s="3">
        <v>7</v>
      </c>
      <c r="X3" s="3">
        <v>-7</v>
      </c>
      <c r="Z3" s="3">
        <v>0</v>
      </c>
      <c r="AA3" s="3">
        <v>-5</v>
      </c>
      <c r="AB3" s="3">
        <v>12</v>
      </c>
    </row>
    <row r="4" spans="1:28" x14ac:dyDescent="0.45">
      <c r="A4" s="3">
        <v>3</v>
      </c>
      <c r="B4" s="3">
        <v>-1</v>
      </c>
      <c r="C4" s="3">
        <v>4</v>
      </c>
      <c r="D4" s="3">
        <v>2</v>
      </c>
      <c r="E4" s="3">
        <v>2</v>
      </c>
      <c r="G4" s="3">
        <v>0</v>
      </c>
      <c r="H4" s="3">
        <v>-2</v>
      </c>
      <c r="I4" s="3">
        <v>4</v>
      </c>
      <c r="J4" s="3">
        <v>7</v>
      </c>
      <c r="K4" s="3">
        <v>-5</v>
      </c>
      <c r="M4" s="3">
        <v>5</v>
      </c>
      <c r="N4" s="3">
        <v>-4</v>
      </c>
      <c r="O4" s="3">
        <v>8</v>
      </c>
      <c r="Q4" s="3">
        <v>1</v>
      </c>
      <c r="R4" s="3">
        <v>-5</v>
      </c>
      <c r="S4" s="3">
        <v>5</v>
      </c>
      <c r="T4" s="3">
        <v>10</v>
      </c>
      <c r="U4" s="3">
        <v>0</v>
      </c>
      <c r="W4" s="3">
        <v>3</v>
      </c>
      <c r="X4" s="3">
        <v>-3</v>
      </c>
      <c r="Z4" s="3">
        <v>-8</v>
      </c>
      <c r="AA4" s="3">
        <v>-7</v>
      </c>
      <c r="AB4" s="3">
        <v>11</v>
      </c>
    </row>
    <row r="5" spans="1:28" x14ac:dyDescent="0.45">
      <c r="A5" s="3">
        <v>0</v>
      </c>
      <c r="B5" s="3">
        <v>6</v>
      </c>
      <c r="C5" s="3">
        <v>-6</v>
      </c>
      <c r="D5" s="3">
        <v>6</v>
      </c>
      <c r="E5" s="3">
        <v>-6</v>
      </c>
      <c r="G5" s="3">
        <v>-1</v>
      </c>
      <c r="H5" s="3">
        <v>1</v>
      </c>
      <c r="I5" s="3">
        <v>1</v>
      </c>
      <c r="J5" s="3">
        <v>3</v>
      </c>
      <c r="K5" s="3">
        <v>5</v>
      </c>
      <c r="M5" s="3">
        <v>1</v>
      </c>
      <c r="N5" s="3">
        <v>-1</v>
      </c>
      <c r="O5" s="3">
        <v>1</v>
      </c>
      <c r="W5" s="3">
        <v>1</v>
      </c>
      <c r="X5" s="3">
        <v>-1</v>
      </c>
    </row>
    <row r="6" spans="1:28" x14ac:dyDescent="0.45">
      <c r="A6" s="3">
        <v>1</v>
      </c>
      <c r="B6" s="3">
        <v>1</v>
      </c>
      <c r="C6" s="3">
        <v>1</v>
      </c>
      <c r="D6" s="3">
        <v>1</v>
      </c>
      <c r="E6" s="3">
        <v>1</v>
      </c>
      <c r="G6" s="3">
        <v>2</v>
      </c>
      <c r="H6" s="3">
        <v>-4</v>
      </c>
      <c r="I6" s="3">
        <v>8</v>
      </c>
      <c r="J6" s="3">
        <v>6</v>
      </c>
      <c r="K6" s="3">
        <v>6</v>
      </c>
      <c r="M6" s="3">
        <v>3</v>
      </c>
      <c r="N6" s="3">
        <v>7</v>
      </c>
      <c r="O6" s="3">
        <v>-2</v>
      </c>
    </row>
    <row r="7" spans="1:28" x14ac:dyDescent="0.45">
      <c r="A7" s="3">
        <v>-2</v>
      </c>
      <c r="B7" s="3">
        <v>-6</v>
      </c>
      <c r="C7" s="3">
        <v>0</v>
      </c>
      <c r="D7" s="3">
        <v>2</v>
      </c>
      <c r="E7" s="3">
        <v>6</v>
      </c>
      <c r="G7" s="3">
        <v>4</v>
      </c>
      <c r="H7" s="3">
        <v>0</v>
      </c>
      <c r="I7" s="3">
        <v>3</v>
      </c>
      <c r="J7" s="3">
        <v>3</v>
      </c>
      <c r="K7" s="3">
        <v>-3</v>
      </c>
      <c r="M7" s="3">
        <v>-3</v>
      </c>
      <c r="N7" s="3">
        <v>0</v>
      </c>
      <c r="O7" s="3">
        <v>0</v>
      </c>
    </row>
    <row r="9" spans="1:28" x14ac:dyDescent="0.45">
      <c r="A9" s="1" t="s">
        <v>26</v>
      </c>
      <c r="G9" s="1" t="s">
        <v>27</v>
      </c>
      <c r="K9" s="1" t="s">
        <v>28</v>
      </c>
      <c r="Q9" s="1" t="s">
        <v>30</v>
      </c>
      <c r="T9" s="1" t="s">
        <v>31</v>
      </c>
    </row>
    <row r="11" spans="1:28" x14ac:dyDescent="0.45">
      <c r="A11" s="3" cm="1">
        <f t="array" ref="A11:E15">MMULT(A3:E7,G3:K7)</f>
        <v>46</v>
      </c>
      <c r="B11" s="3">
        <v>-47</v>
      </c>
      <c r="C11" s="3">
        <v>111</v>
      </c>
      <c r="D11" s="3">
        <v>103</v>
      </c>
      <c r="E11" s="3">
        <v>2</v>
      </c>
      <c r="G11" s="3" cm="1">
        <f t="array" ref="G11:I15">MMULT(A3:E7,M3:O7)</f>
        <v>34</v>
      </c>
      <c r="H11" s="3">
        <v>46</v>
      </c>
      <c r="I11" s="3">
        <v>28</v>
      </c>
      <c r="K11" s="3" cm="1">
        <f t="array" ref="K11:O12">MMULT(Q3:U4,G3:K7)</f>
        <v>-7</v>
      </c>
      <c r="L11" s="3">
        <v>-24</v>
      </c>
      <c r="M11" s="3">
        <v>11</v>
      </c>
      <c r="N11" s="3">
        <v>18</v>
      </c>
      <c r="O11" s="3">
        <v>-25</v>
      </c>
      <c r="Q11" s="3" cm="1">
        <f t="array" ref="Q11:R15">MMULT(M3:O7,W3:X5)</f>
        <v>25</v>
      </c>
      <c r="R11" s="3">
        <v>-25</v>
      </c>
      <c r="T11" s="3" cm="1">
        <f t="array" ref="T11:U12">MMULT(Z3:AB4,W3:X5)</f>
        <v>-3</v>
      </c>
      <c r="U11" s="3">
        <v>3</v>
      </c>
    </row>
    <row r="12" spans="1:28" x14ac:dyDescent="0.45">
      <c r="A12" s="3">
        <v>14</v>
      </c>
      <c r="B12" s="3">
        <v>1</v>
      </c>
      <c r="C12" s="3">
        <v>31</v>
      </c>
      <c r="D12" s="3">
        <v>29</v>
      </c>
      <c r="E12" s="3">
        <v>34</v>
      </c>
      <c r="G12" s="3">
        <v>5</v>
      </c>
      <c r="H12" s="3">
        <v>17</v>
      </c>
      <c r="I12" s="3">
        <v>16</v>
      </c>
      <c r="K12" s="3">
        <v>17</v>
      </c>
      <c r="L12" s="3">
        <v>-24</v>
      </c>
      <c r="M12" s="3">
        <v>68</v>
      </c>
      <c r="N12" s="3">
        <v>42</v>
      </c>
      <c r="O12" s="3">
        <v>111</v>
      </c>
      <c r="Q12" s="3">
        <v>31</v>
      </c>
      <c r="R12" s="3">
        <v>-31</v>
      </c>
      <c r="T12" s="3">
        <v>-66</v>
      </c>
      <c r="U12" s="3">
        <v>66</v>
      </c>
    </row>
    <row r="13" spans="1:28" x14ac:dyDescent="0.45">
      <c r="A13" s="3">
        <v>-6</v>
      </c>
      <c r="B13" s="3">
        <v>-42</v>
      </c>
      <c r="C13" s="3">
        <v>48</v>
      </c>
      <c r="D13" s="3">
        <v>42</v>
      </c>
      <c r="E13" s="3">
        <v>-6</v>
      </c>
      <c r="G13" s="3">
        <v>60</v>
      </c>
      <c r="H13" s="3">
        <v>24</v>
      </c>
      <c r="I13" s="3">
        <v>30</v>
      </c>
      <c r="Q13" s="3">
        <v>5</v>
      </c>
      <c r="R13" s="3">
        <v>-5</v>
      </c>
    </row>
    <row r="14" spans="1:28" x14ac:dyDescent="0.45">
      <c r="A14" s="3">
        <v>7</v>
      </c>
      <c r="B14" s="3">
        <v>-4</v>
      </c>
      <c r="C14" s="3">
        <v>19</v>
      </c>
      <c r="D14" s="3">
        <v>21</v>
      </c>
      <c r="E14" s="3">
        <v>4</v>
      </c>
      <c r="G14" s="3">
        <v>8</v>
      </c>
      <c r="H14" s="3">
        <v>3</v>
      </c>
      <c r="I14" s="3">
        <v>15</v>
      </c>
      <c r="Q14" s="3">
        <v>40</v>
      </c>
      <c r="R14" s="3">
        <v>-40</v>
      </c>
    </row>
    <row r="15" spans="1:28" x14ac:dyDescent="0.45">
      <c r="A15" s="3">
        <v>24</v>
      </c>
      <c r="B15" s="3">
        <v>2</v>
      </c>
      <c r="C15" s="3">
        <v>4</v>
      </c>
      <c r="D15" s="3">
        <v>-16</v>
      </c>
      <c r="E15" s="3">
        <v>22</v>
      </c>
      <c r="G15" s="3">
        <v>-46</v>
      </c>
      <c r="H15" s="3">
        <v>36</v>
      </c>
      <c r="I15" s="3">
        <v>-68</v>
      </c>
      <c r="Q15" s="3">
        <v>-21</v>
      </c>
      <c r="R15" s="3">
        <v>21</v>
      </c>
    </row>
  </sheetData>
  <pageMargins left="0.7" right="0.7" top="0.75" bottom="0.75" header="0.3" footer="0.3"/>
  <pageSetup paperSize="9" orientation="portrait" r:id="rId1"/>
  <headerFooter>
    <oddHeader>&amp;C&amp;"Times New Roman,обычный"&amp;12Крамбалев Сергей Дмитриевич, подгр.1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3910-D7D7-43F0-A12D-CF4DFBADA76A}">
  <dimension ref="A1:AB14"/>
  <sheetViews>
    <sheetView zoomScaleNormal="100" workbookViewId="0">
      <selection activeCell="Q15" sqref="Q15"/>
    </sheetView>
  </sheetViews>
  <sheetFormatPr defaultRowHeight="15.4" x14ac:dyDescent="0.45"/>
  <cols>
    <col min="1" max="16384" width="9.06640625" style="5"/>
  </cols>
  <sheetData>
    <row r="1" spans="1:28" x14ac:dyDescent="0.45">
      <c r="A1" s="4" t="s">
        <v>0</v>
      </c>
      <c r="B1" s="4"/>
      <c r="C1" s="4"/>
      <c r="D1" s="4"/>
      <c r="E1" s="4"/>
      <c r="F1" s="4"/>
      <c r="G1" s="4" t="s">
        <v>1</v>
      </c>
      <c r="H1" s="4"/>
      <c r="I1" s="4"/>
      <c r="J1" s="4"/>
      <c r="K1" s="4"/>
      <c r="L1" s="4"/>
      <c r="M1" s="4" t="s">
        <v>2</v>
      </c>
      <c r="N1" s="4"/>
      <c r="O1" s="4"/>
      <c r="P1" s="4"/>
      <c r="Q1" s="4" t="s">
        <v>3</v>
      </c>
      <c r="R1" s="4"/>
      <c r="S1" s="4"/>
      <c r="T1" s="4"/>
      <c r="U1" s="4"/>
      <c r="V1" s="4"/>
      <c r="W1" s="4" t="s">
        <v>4</v>
      </c>
      <c r="X1" s="4"/>
      <c r="Y1" s="4"/>
      <c r="Z1" s="4" t="s">
        <v>29</v>
      </c>
    </row>
    <row r="3" spans="1:28" x14ac:dyDescent="0.45">
      <c r="A3" s="6">
        <v>1</v>
      </c>
      <c r="B3" s="6">
        <v>5</v>
      </c>
      <c r="C3" s="6">
        <v>-2</v>
      </c>
      <c r="D3" s="6">
        <v>9</v>
      </c>
      <c r="E3" s="6">
        <v>6</v>
      </c>
      <c r="G3" s="6">
        <v>2</v>
      </c>
      <c r="H3" s="6">
        <v>1</v>
      </c>
      <c r="I3" s="6">
        <v>3</v>
      </c>
      <c r="J3" s="6">
        <v>2</v>
      </c>
      <c r="K3" s="6">
        <v>1</v>
      </c>
      <c r="M3" s="6">
        <v>2</v>
      </c>
      <c r="N3" s="6">
        <v>1</v>
      </c>
      <c r="O3" s="6">
        <v>8</v>
      </c>
      <c r="Q3" s="6">
        <v>-5</v>
      </c>
      <c r="R3" s="6">
        <v>4</v>
      </c>
      <c r="S3" s="6">
        <v>-3</v>
      </c>
      <c r="T3" s="6">
        <v>2</v>
      </c>
      <c r="U3" s="6">
        <v>-1</v>
      </c>
      <c r="W3" s="6">
        <v>7</v>
      </c>
      <c r="X3" s="6">
        <v>-7</v>
      </c>
      <c r="Z3" s="6">
        <v>0</v>
      </c>
      <c r="AA3" s="6">
        <v>-5</v>
      </c>
      <c r="AB3" s="6">
        <v>12</v>
      </c>
    </row>
    <row r="4" spans="1:28" x14ac:dyDescent="0.45">
      <c r="A4" s="6">
        <v>3</v>
      </c>
      <c r="B4" s="6">
        <v>-1</v>
      </c>
      <c r="C4" s="6">
        <v>4</v>
      </c>
      <c r="D4" s="6">
        <v>2</v>
      </c>
      <c r="E4" s="6">
        <v>2</v>
      </c>
      <c r="G4" s="6">
        <v>0</v>
      </c>
      <c r="H4" s="6">
        <v>-2</v>
      </c>
      <c r="I4" s="6">
        <v>4</v>
      </c>
      <c r="J4" s="6">
        <v>7</v>
      </c>
      <c r="K4" s="6">
        <v>-5</v>
      </c>
      <c r="M4" s="6">
        <v>5</v>
      </c>
      <c r="N4" s="6">
        <v>-4</v>
      </c>
      <c r="O4" s="6">
        <v>8</v>
      </c>
      <c r="Q4" s="6">
        <v>1</v>
      </c>
      <c r="R4" s="6">
        <v>-5</v>
      </c>
      <c r="S4" s="6">
        <v>5</v>
      </c>
      <c r="T4" s="6">
        <v>10</v>
      </c>
      <c r="U4" s="6">
        <v>0</v>
      </c>
      <c r="W4" s="6">
        <v>3</v>
      </c>
      <c r="X4" s="6">
        <v>-3</v>
      </c>
      <c r="Z4" s="6">
        <v>-8</v>
      </c>
      <c r="AA4" s="6">
        <v>-7</v>
      </c>
      <c r="AB4" s="6">
        <v>11</v>
      </c>
    </row>
    <row r="5" spans="1:28" x14ac:dyDescent="0.45">
      <c r="A5" s="6">
        <v>0</v>
      </c>
      <c r="B5" s="6">
        <v>6</v>
      </c>
      <c r="C5" s="6">
        <v>-6</v>
      </c>
      <c r="D5" s="6">
        <v>6</v>
      </c>
      <c r="E5" s="6">
        <v>-6</v>
      </c>
      <c r="G5" s="6">
        <v>-1</v>
      </c>
      <c r="H5" s="6">
        <v>1</v>
      </c>
      <c r="I5" s="6">
        <v>1</v>
      </c>
      <c r="J5" s="6">
        <v>3</v>
      </c>
      <c r="K5" s="6">
        <v>5</v>
      </c>
      <c r="M5" s="6">
        <v>1</v>
      </c>
      <c r="N5" s="6">
        <v>-1</v>
      </c>
      <c r="O5" s="6">
        <v>1</v>
      </c>
      <c r="W5" s="6">
        <v>1</v>
      </c>
      <c r="X5" s="6">
        <v>-1</v>
      </c>
    </row>
    <row r="6" spans="1:28" x14ac:dyDescent="0.45">
      <c r="A6" s="6">
        <v>1</v>
      </c>
      <c r="B6" s="6">
        <v>1</v>
      </c>
      <c r="C6" s="6">
        <v>1</v>
      </c>
      <c r="D6" s="6">
        <v>1</v>
      </c>
      <c r="E6" s="6">
        <v>1</v>
      </c>
      <c r="G6" s="6">
        <v>2</v>
      </c>
      <c r="H6" s="6">
        <v>-4</v>
      </c>
      <c r="I6" s="6">
        <v>8</v>
      </c>
      <c r="J6" s="6">
        <v>6</v>
      </c>
      <c r="K6" s="6">
        <v>6</v>
      </c>
      <c r="M6" s="6">
        <v>3</v>
      </c>
      <c r="N6" s="6">
        <v>7</v>
      </c>
      <c r="O6" s="6">
        <v>-2</v>
      </c>
    </row>
    <row r="7" spans="1:28" x14ac:dyDescent="0.45">
      <c r="A7" s="6">
        <v>-2</v>
      </c>
      <c r="B7" s="6">
        <v>-6</v>
      </c>
      <c r="C7" s="6">
        <v>0</v>
      </c>
      <c r="D7" s="6">
        <v>2</v>
      </c>
      <c r="E7" s="6">
        <v>6</v>
      </c>
      <c r="G7" s="6">
        <v>4</v>
      </c>
      <c r="H7" s="6">
        <v>0</v>
      </c>
      <c r="I7" s="6">
        <v>3</v>
      </c>
      <c r="J7" s="6">
        <v>3</v>
      </c>
      <c r="K7" s="6">
        <v>-3</v>
      </c>
      <c r="M7" s="6">
        <v>-3</v>
      </c>
      <c r="N7" s="6">
        <v>0</v>
      </c>
      <c r="O7" s="6">
        <v>0</v>
      </c>
    </row>
    <row r="9" spans="1:28" x14ac:dyDescent="0.45">
      <c r="A9" s="5" t="s">
        <v>32</v>
      </c>
      <c r="G9" s="5" t="s">
        <v>33</v>
      </c>
      <c r="M9" s="5" t="s">
        <v>34</v>
      </c>
      <c r="S9" s="5" t="s">
        <v>35</v>
      </c>
      <c r="W9" s="5" t="s">
        <v>36</v>
      </c>
      <c r="AA9" s="5" t="s">
        <v>37</v>
      </c>
    </row>
    <row r="10" spans="1:28" x14ac:dyDescent="0.45">
      <c r="A10" s="6" cm="1">
        <f t="array" ref="A10:E14">TRANSPOSE(A3:E7)</f>
        <v>1</v>
      </c>
      <c r="B10" s="6">
        <v>3</v>
      </c>
      <c r="C10" s="6">
        <v>0</v>
      </c>
      <c r="D10" s="6">
        <v>1</v>
      </c>
      <c r="E10" s="6">
        <v>-2</v>
      </c>
      <c r="G10" s="6" cm="1">
        <f t="array" ref="G10:K14">TRANSPOSE(G3:K7)</f>
        <v>2</v>
      </c>
      <c r="H10" s="6">
        <v>0</v>
      </c>
      <c r="I10" s="6">
        <v>-1</v>
      </c>
      <c r="J10" s="6">
        <v>2</v>
      </c>
      <c r="K10" s="6">
        <v>4</v>
      </c>
      <c r="M10" s="6" cm="1">
        <f t="array" ref="M10:Q12">TRANSPOSE(M3:O7)</f>
        <v>2</v>
      </c>
      <c r="N10" s="6">
        <v>5</v>
      </c>
      <c r="O10" s="6">
        <v>1</v>
      </c>
      <c r="P10" s="6">
        <v>3</v>
      </c>
      <c r="Q10" s="6">
        <v>-3</v>
      </c>
      <c r="S10" s="6" cm="1">
        <f t="array" ref="S10:T14">TRANSPOSE(Q3:U4)</f>
        <v>-5</v>
      </c>
      <c r="T10" s="6">
        <v>1</v>
      </c>
      <c r="W10" s="6" cm="1">
        <f t="array" ref="W10:Y11">TRANSPOSE(W3:X5)</f>
        <v>7</v>
      </c>
      <c r="X10" s="6">
        <v>3</v>
      </c>
      <c r="Y10" s="6">
        <v>1</v>
      </c>
      <c r="AA10" s="6" cm="1">
        <f t="array" ref="AA10:AB12">TRANSPOSE(Z3:AB4)</f>
        <v>0</v>
      </c>
      <c r="AB10" s="6">
        <v>-8</v>
      </c>
    </row>
    <row r="11" spans="1:28" x14ac:dyDescent="0.45">
      <c r="A11" s="6">
        <v>5</v>
      </c>
      <c r="B11" s="6">
        <v>-1</v>
      </c>
      <c r="C11" s="6">
        <v>6</v>
      </c>
      <c r="D11" s="6">
        <v>1</v>
      </c>
      <c r="E11" s="6">
        <v>-6</v>
      </c>
      <c r="G11" s="6">
        <v>1</v>
      </c>
      <c r="H11" s="6">
        <v>-2</v>
      </c>
      <c r="I11" s="6">
        <v>1</v>
      </c>
      <c r="J11" s="6">
        <v>-4</v>
      </c>
      <c r="K11" s="6">
        <v>0</v>
      </c>
      <c r="M11" s="6">
        <v>1</v>
      </c>
      <c r="N11" s="6">
        <v>-4</v>
      </c>
      <c r="O11" s="6">
        <v>-1</v>
      </c>
      <c r="P11" s="6">
        <v>7</v>
      </c>
      <c r="Q11" s="6">
        <v>0</v>
      </c>
      <c r="S11" s="6">
        <v>4</v>
      </c>
      <c r="T11" s="6">
        <v>-5</v>
      </c>
      <c r="W11" s="6">
        <v>-7</v>
      </c>
      <c r="X11" s="6">
        <v>-3</v>
      </c>
      <c r="Y11" s="6">
        <v>-1</v>
      </c>
      <c r="AA11" s="6">
        <v>-5</v>
      </c>
      <c r="AB11" s="6">
        <v>-7</v>
      </c>
    </row>
    <row r="12" spans="1:28" x14ac:dyDescent="0.45">
      <c r="A12" s="6">
        <v>-2</v>
      </c>
      <c r="B12" s="6">
        <v>4</v>
      </c>
      <c r="C12" s="6">
        <v>-6</v>
      </c>
      <c r="D12" s="6">
        <v>1</v>
      </c>
      <c r="E12" s="6">
        <v>0</v>
      </c>
      <c r="G12" s="6">
        <v>3</v>
      </c>
      <c r="H12" s="6">
        <v>4</v>
      </c>
      <c r="I12" s="6">
        <v>1</v>
      </c>
      <c r="J12" s="6">
        <v>8</v>
      </c>
      <c r="K12" s="6">
        <v>3</v>
      </c>
      <c r="M12" s="6">
        <v>8</v>
      </c>
      <c r="N12" s="6">
        <v>8</v>
      </c>
      <c r="O12" s="6">
        <v>1</v>
      </c>
      <c r="P12" s="6">
        <v>-2</v>
      </c>
      <c r="Q12" s="6">
        <v>0</v>
      </c>
      <c r="S12" s="6">
        <v>-3</v>
      </c>
      <c r="T12" s="6">
        <v>5</v>
      </c>
      <c r="AA12" s="6">
        <v>12</v>
      </c>
      <c r="AB12" s="6">
        <v>11</v>
      </c>
    </row>
    <row r="13" spans="1:28" x14ac:dyDescent="0.45">
      <c r="A13" s="6">
        <v>9</v>
      </c>
      <c r="B13" s="6">
        <v>2</v>
      </c>
      <c r="C13" s="6">
        <v>6</v>
      </c>
      <c r="D13" s="6">
        <v>1</v>
      </c>
      <c r="E13" s="6">
        <v>2</v>
      </c>
      <c r="G13" s="6">
        <v>2</v>
      </c>
      <c r="H13" s="6">
        <v>7</v>
      </c>
      <c r="I13" s="6">
        <v>3</v>
      </c>
      <c r="J13" s="6">
        <v>6</v>
      </c>
      <c r="K13" s="6">
        <v>3</v>
      </c>
      <c r="S13" s="6">
        <v>2</v>
      </c>
      <c r="T13" s="6">
        <v>10</v>
      </c>
    </row>
    <row r="14" spans="1:28" x14ac:dyDescent="0.45">
      <c r="A14" s="6">
        <v>6</v>
      </c>
      <c r="B14" s="6">
        <v>2</v>
      </c>
      <c r="C14" s="6">
        <v>-6</v>
      </c>
      <c r="D14" s="6">
        <v>1</v>
      </c>
      <c r="E14" s="6">
        <v>6</v>
      </c>
      <c r="G14" s="6">
        <v>1</v>
      </c>
      <c r="H14" s="6">
        <v>-5</v>
      </c>
      <c r="I14" s="6">
        <v>5</v>
      </c>
      <c r="J14" s="6">
        <v>6</v>
      </c>
      <c r="K14" s="6">
        <v>-3</v>
      </c>
      <c r="S14" s="6">
        <v>-1</v>
      </c>
      <c r="T14" s="6">
        <v>0</v>
      </c>
    </row>
  </sheetData>
  <pageMargins left="0.7" right="0.7" top="0.75" bottom="0.75" header="0.3" footer="0.3"/>
  <pageSetup paperSize="9" orientation="portrait" r:id="rId1"/>
  <headerFooter differentFirst="1">
    <firstHeader>&amp;C&amp;"Times New Roman,обычный"&amp;12Крамбалев Сергей Димтриевич, подгр.1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6EBD-EF5D-4E0F-9E5D-508108B51704}">
  <dimension ref="A1:X10"/>
  <sheetViews>
    <sheetView topLeftCell="E1" zoomScaleNormal="100" workbookViewId="0">
      <selection sqref="A1:X8"/>
    </sheetView>
  </sheetViews>
  <sheetFormatPr defaultRowHeight="15.4" x14ac:dyDescent="0.45"/>
  <cols>
    <col min="1" max="16384" width="9.06640625" style="1"/>
  </cols>
  <sheetData>
    <row r="1" spans="1:24" x14ac:dyDescent="0.45">
      <c r="A1" s="2" t="s">
        <v>0</v>
      </c>
      <c r="G1" s="2" t="s">
        <v>1</v>
      </c>
      <c r="K1" s="2" t="s">
        <v>2</v>
      </c>
      <c r="P1" s="2" t="s">
        <v>3</v>
      </c>
      <c r="W1" s="2" t="s">
        <v>4</v>
      </c>
    </row>
    <row r="3" spans="1:24" x14ac:dyDescent="0.45">
      <c r="A3" s="3">
        <v>3</v>
      </c>
      <c r="B3" s="3">
        <v>4</v>
      </c>
      <c r="C3" s="3">
        <v>1</v>
      </c>
      <c r="D3" s="3">
        <v>-2</v>
      </c>
      <c r="E3" s="3">
        <v>-7</v>
      </c>
      <c r="G3" s="3">
        <v>5</v>
      </c>
      <c r="H3" s="3">
        <v>-2</v>
      </c>
      <c r="I3" s="3">
        <v>4</v>
      </c>
      <c r="K3" s="3">
        <v>-8</v>
      </c>
      <c r="L3" s="3">
        <v>2</v>
      </c>
      <c r="M3" s="3">
        <v>4</v>
      </c>
      <c r="N3" s="3">
        <v>-1</v>
      </c>
      <c r="P3" s="3">
        <v>0</v>
      </c>
      <c r="Q3" s="3">
        <v>-4</v>
      </c>
      <c r="R3" s="3">
        <v>2</v>
      </c>
      <c r="S3" s="3">
        <v>6</v>
      </c>
      <c r="T3" s="3">
        <v>-8</v>
      </c>
      <c r="U3" s="3">
        <v>0</v>
      </c>
      <c r="W3" s="3">
        <v>-6</v>
      </c>
      <c r="X3" s="3">
        <v>12</v>
      </c>
    </row>
    <row r="4" spans="1:24" x14ac:dyDescent="0.45">
      <c r="A4" s="3">
        <v>0</v>
      </c>
      <c r="B4" s="3">
        <v>2</v>
      </c>
      <c r="C4" s="3">
        <v>2</v>
      </c>
      <c r="D4" s="3">
        <v>-6</v>
      </c>
      <c r="E4" s="3">
        <v>-2</v>
      </c>
      <c r="G4" s="3">
        <v>1</v>
      </c>
      <c r="H4" s="3">
        <v>-3</v>
      </c>
      <c r="I4" s="3">
        <v>7</v>
      </c>
      <c r="K4" s="3">
        <v>0</v>
      </c>
      <c r="L4" s="3">
        <v>3</v>
      </c>
      <c r="M4" s="3">
        <v>-7</v>
      </c>
      <c r="N4" s="3">
        <v>3</v>
      </c>
      <c r="P4" s="3">
        <v>1</v>
      </c>
      <c r="Q4" s="3">
        <v>1</v>
      </c>
      <c r="R4" s="3">
        <v>-3</v>
      </c>
      <c r="S4" s="3">
        <v>7</v>
      </c>
      <c r="T4" s="3">
        <v>9</v>
      </c>
      <c r="U4" s="3">
        <v>-15</v>
      </c>
      <c r="W4" s="3">
        <v>3</v>
      </c>
      <c r="X4" s="3">
        <v>-15</v>
      </c>
    </row>
    <row r="5" spans="1:24" x14ac:dyDescent="0.45">
      <c r="A5" s="3">
        <v>10</v>
      </c>
      <c r="B5" s="3">
        <v>-5</v>
      </c>
      <c r="C5" s="3">
        <v>-1</v>
      </c>
      <c r="D5" s="3">
        <v>2</v>
      </c>
      <c r="E5" s="3">
        <v>7</v>
      </c>
      <c r="G5" s="3">
        <v>6</v>
      </c>
      <c r="H5" s="3">
        <v>1</v>
      </c>
      <c r="I5" s="3">
        <v>-5</v>
      </c>
      <c r="K5" s="3">
        <v>1</v>
      </c>
      <c r="L5" s="3">
        <v>-9</v>
      </c>
      <c r="M5" s="3">
        <v>-6</v>
      </c>
      <c r="N5" s="3">
        <v>2</v>
      </c>
      <c r="P5" s="3">
        <v>-6</v>
      </c>
      <c r="Q5" s="3">
        <v>2</v>
      </c>
      <c r="R5" s="3">
        <v>1</v>
      </c>
      <c r="S5" s="3">
        <v>-2</v>
      </c>
      <c r="T5" s="3">
        <v>-6</v>
      </c>
      <c r="U5" s="3">
        <v>8</v>
      </c>
    </row>
    <row r="6" spans="1:24" x14ac:dyDescent="0.45">
      <c r="A6" s="3">
        <v>4</v>
      </c>
      <c r="B6" s="3">
        <v>4</v>
      </c>
      <c r="C6" s="3">
        <v>-4</v>
      </c>
      <c r="D6" s="3">
        <v>-2</v>
      </c>
      <c r="E6" s="3">
        <v>0</v>
      </c>
      <c r="K6" s="3">
        <v>-2</v>
      </c>
      <c r="L6" s="3">
        <v>10</v>
      </c>
      <c r="M6" s="3">
        <v>-15</v>
      </c>
      <c r="N6" s="3">
        <v>1</v>
      </c>
      <c r="P6" s="3">
        <v>0</v>
      </c>
      <c r="Q6" s="3">
        <v>3</v>
      </c>
      <c r="R6" s="3">
        <v>-5</v>
      </c>
      <c r="S6" s="3">
        <v>3</v>
      </c>
      <c r="T6" s="3">
        <v>4</v>
      </c>
      <c r="U6" s="3">
        <v>-1</v>
      </c>
    </row>
    <row r="7" spans="1:24" x14ac:dyDescent="0.45">
      <c r="A7" s="3">
        <v>-8</v>
      </c>
      <c r="B7" s="3">
        <v>7</v>
      </c>
      <c r="C7" s="3">
        <v>3</v>
      </c>
      <c r="D7" s="3">
        <v>5</v>
      </c>
      <c r="E7" s="3">
        <v>1</v>
      </c>
      <c r="P7" s="3">
        <v>-7</v>
      </c>
      <c r="Q7" s="3">
        <v>-1</v>
      </c>
      <c r="R7" s="3">
        <v>4</v>
      </c>
      <c r="S7" s="3">
        <v>8</v>
      </c>
      <c r="T7" s="3">
        <v>-6</v>
      </c>
      <c r="U7" s="3">
        <v>0</v>
      </c>
    </row>
    <row r="8" spans="1:24" x14ac:dyDescent="0.45">
      <c r="P8" s="3">
        <v>4</v>
      </c>
      <c r="Q8" s="3">
        <v>7</v>
      </c>
      <c r="R8" s="3">
        <v>-4</v>
      </c>
      <c r="S8" s="3">
        <v>-7</v>
      </c>
      <c r="T8" s="3">
        <v>5</v>
      </c>
      <c r="U8" s="3">
        <v>9</v>
      </c>
    </row>
    <row r="9" spans="1:24" x14ac:dyDescent="0.4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</row>
    <row r="10" spans="1:24" x14ac:dyDescent="0.45">
      <c r="A10" s="3">
        <f>MDETERM(A3:E7)</f>
        <v>-26752.000000000004</v>
      </c>
      <c r="B10" s="3">
        <f>MDETERM(G3:I5)</f>
        <v>22.000000000000018</v>
      </c>
      <c r="C10" s="3">
        <f>MDETERM(K3:N6)</f>
        <v>-3558.9999999999995</v>
      </c>
      <c r="D10" s="3">
        <f>MDETERM(P3:U8)</f>
        <v>72153.999999999971</v>
      </c>
      <c r="E10" s="3">
        <f>MDETERM(W3:X4)</f>
        <v>54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275D-C986-43A0-A825-6E58D85A33C1}">
  <dimension ref="A1:X16"/>
  <sheetViews>
    <sheetView tabSelected="1" zoomScaleNormal="100" workbookViewId="0">
      <selection activeCell="L15" sqref="L15"/>
    </sheetView>
  </sheetViews>
  <sheetFormatPr defaultRowHeight="15.4" x14ac:dyDescent="0.45"/>
  <cols>
    <col min="1" max="16384" width="9.06640625" style="5"/>
  </cols>
  <sheetData>
    <row r="1" spans="1:24" s="4" customFormat="1" x14ac:dyDescent="0.45">
      <c r="A1" s="4" t="s">
        <v>0</v>
      </c>
      <c r="G1" s="4" t="s">
        <v>1</v>
      </c>
      <c r="K1" s="4" t="s">
        <v>2</v>
      </c>
      <c r="P1" s="4" t="s">
        <v>3</v>
      </c>
      <c r="W1" s="4" t="s">
        <v>4</v>
      </c>
    </row>
    <row r="3" spans="1:24" x14ac:dyDescent="0.45">
      <c r="A3" s="6">
        <v>3</v>
      </c>
      <c r="B3" s="6">
        <v>4</v>
      </c>
      <c r="C3" s="6">
        <v>1</v>
      </c>
      <c r="D3" s="6">
        <v>-2</v>
      </c>
      <c r="E3" s="6">
        <v>-7</v>
      </c>
      <c r="G3" s="6">
        <v>5</v>
      </c>
      <c r="H3" s="6">
        <v>-2</v>
      </c>
      <c r="I3" s="6">
        <v>4</v>
      </c>
      <c r="K3" s="6">
        <v>-8</v>
      </c>
      <c r="L3" s="6">
        <v>2</v>
      </c>
      <c r="M3" s="6">
        <v>4</v>
      </c>
      <c r="N3" s="6">
        <v>-1</v>
      </c>
      <c r="P3" s="6">
        <v>0</v>
      </c>
      <c r="Q3" s="6">
        <v>-4</v>
      </c>
      <c r="R3" s="6">
        <v>2</v>
      </c>
      <c r="S3" s="6">
        <v>6</v>
      </c>
      <c r="T3" s="6">
        <v>-8</v>
      </c>
      <c r="U3" s="6">
        <v>0</v>
      </c>
      <c r="W3" s="6">
        <v>-6</v>
      </c>
      <c r="X3" s="6">
        <v>12</v>
      </c>
    </row>
    <row r="4" spans="1:24" x14ac:dyDescent="0.45">
      <c r="A4" s="6">
        <v>0</v>
      </c>
      <c r="B4" s="6">
        <v>2</v>
      </c>
      <c r="C4" s="6">
        <v>2</v>
      </c>
      <c r="D4" s="6">
        <v>-6</v>
      </c>
      <c r="E4" s="6">
        <v>-2</v>
      </c>
      <c r="G4" s="6">
        <v>1</v>
      </c>
      <c r="H4" s="6">
        <v>-3</v>
      </c>
      <c r="I4" s="6">
        <v>7</v>
      </c>
      <c r="K4" s="6">
        <v>0</v>
      </c>
      <c r="L4" s="6">
        <v>3</v>
      </c>
      <c r="M4" s="6">
        <v>-7</v>
      </c>
      <c r="N4" s="6">
        <v>3</v>
      </c>
      <c r="P4" s="6">
        <v>1</v>
      </c>
      <c r="Q4" s="6">
        <v>1</v>
      </c>
      <c r="R4" s="6">
        <v>-3</v>
      </c>
      <c r="S4" s="6">
        <v>7</v>
      </c>
      <c r="T4" s="6">
        <v>9</v>
      </c>
      <c r="U4" s="6">
        <v>-15</v>
      </c>
      <c r="W4" s="6">
        <v>3</v>
      </c>
      <c r="X4" s="6">
        <v>-15</v>
      </c>
    </row>
    <row r="5" spans="1:24" x14ac:dyDescent="0.45">
      <c r="A5" s="6">
        <v>10</v>
      </c>
      <c r="B5" s="6">
        <v>-5</v>
      </c>
      <c r="C5" s="6">
        <v>-1</v>
      </c>
      <c r="D5" s="6">
        <v>2</v>
      </c>
      <c r="E5" s="6">
        <v>7</v>
      </c>
      <c r="G5" s="6">
        <v>6</v>
      </c>
      <c r="H5" s="6">
        <v>1</v>
      </c>
      <c r="I5" s="6">
        <v>-5</v>
      </c>
      <c r="K5" s="6">
        <v>1</v>
      </c>
      <c r="L5" s="6">
        <v>-9</v>
      </c>
      <c r="M5" s="6">
        <v>-6</v>
      </c>
      <c r="N5" s="6">
        <v>2</v>
      </c>
      <c r="P5" s="6">
        <v>-6</v>
      </c>
      <c r="Q5" s="6">
        <v>2</v>
      </c>
      <c r="R5" s="6">
        <v>1</v>
      </c>
      <c r="S5" s="6">
        <v>-2</v>
      </c>
      <c r="T5" s="6">
        <v>-6</v>
      </c>
      <c r="U5" s="6">
        <v>8</v>
      </c>
    </row>
    <row r="6" spans="1:24" x14ac:dyDescent="0.45">
      <c r="A6" s="6">
        <v>4</v>
      </c>
      <c r="B6" s="6">
        <v>4</v>
      </c>
      <c r="C6" s="6">
        <v>-4</v>
      </c>
      <c r="D6" s="6">
        <v>-2</v>
      </c>
      <c r="E6" s="6">
        <v>0</v>
      </c>
      <c r="K6" s="6">
        <v>-2</v>
      </c>
      <c r="L6" s="6">
        <v>10</v>
      </c>
      <c r="M6" s="6">
        <v>-15</v>
      </c>
      <c r="N6" s="6">
        <v>1</v>
      </c>
      <c r="P6" s="6">
        <v>0</v>
      </c>
      <c r="Q6" s="6">
        <v>3</v>
      </c>
      <c r="R6" s="6">
        <v>-5</v>
      </c>
      <c r="S6" s="6">
        <v>3</v>
      </c>
      <c r="T6" s="6">
        <v>4</v>
      </c>
      <c r="U6" s="6">
        <v>-1</v>
      </c>
    </row>
    <row r="7" spans="1:24" x14ac:dyDescent="0.45">
      <c r="A7" s="6">
        <v>-8</v>
      </c>
      <c r="B7" s="6">
        <v>7</v>
      </c>
      <c r="C7" s="6">
        <v>3</v>
      </c>
      <c r="D7" s="6">
        <v>5</v>
      </c>
      <c r="E7" s="6">
        <v>1</v>
      </c>
      <c r="P7" s="6">
        <v>-7</v>
      </c>
      <c r="Q7" s="6">
        <v>-1</v>
      </c>
      <c r="R7" s="6">
        <v>4</v>
      </c>
      <c r="S7" s="6">
        <v>8</v>
      </c>
      <c r="T7" s="6">
        <v>-6</v>
      </c>
      <c r="U7" s="6">
        <v>0</v>
      </c>
    </row>
    <row r="8" spans="1:24" x14ac:dyDescent="0.45">
      <c r="P8" s="6">
        <v>4</v>
      </c>
      <c r="Q8" s="6">
        <v>7</v>
      </c>
      <c r="R8" s="6">
        <v>-4</v>
      </c>
      <c r="S8" s="6">
        <v>-7</v>
      </c>
      <c r="T8" s="6">
        <v>5</v>
      </c>
      <c r="U8" s="6">
        <v>9</v>
      </c>
    </row>
    <row r="10" spans="1:24" x14ac:dyDescent="0.45">
      <c r="A10" s="5" t="s">
        <v>43</v>
      </c>
      <c r="G10" s="5" t="s">
        <v>44</v>
      </c>
      <c r="K10" s="5" t="s">
        <v>45</v>
      </c>
      <c r="P10" s="5" t="s">
        <v>46</v>
      </c>
      <c r="W10" s="5" t="s">
        <v>47</v>
      </c>
    </row>
    <row r="11" spans="1:24" x14ac:dyDescent="0.45">
      <c r="A11" s="6" cm="1">
        <f t="array" ref="A11:E15">MINVERSE(A3:E7)</f>
        <v>7.8947368421052641E-2</v>
      </c>
      <c r="B11" s="6">
        <v>3.2894736842105422E-3</v>
      </c>
      <c r="C11" s="6">
        <v>7.8947368421052627E-2</v>
      </c>
      <c r="D11" s="6">
        <v>6.5789473684210566E-3</v>
      </c>
      <c r="E11" s="6">
        <v>6.5789473684210618E-3</v>
      </c>
      <c r="G11" s="6" cm="1">
        <f t="array" ref="G11:I13">MINVERSE(G3:I5)</f>
        <v>0.36363636363636337</v>
      </c>
      <c r="H11" s="6">
        <v>-0.27272727272727249</v>
      </c>
      <c r="I11" s="6">
        <v>-9.0909090909090676E-2</v>
      </c>
      <c r="K11" s="6" cm="1">
        <f t="array" ref="K11:N14">MINVERSE(K3:N6)</f>
        <v>-0.12756392245012643</v>
      </c>
      <c r="L11" s="6">
        <v>-8.7103118853610537E-3</v>
      </c>
      <c r="M11" s="6">
        <v>-4.4675470637819605E-2</v>
      </c>
      <c r="N11" s="6">
        <v>-1.2082045518404038E-2</v>
      </c>
      <c r="P11" s="6" cm="1">
        <f t="array" ref="P11:U16">MINVERSE(P3:U8)</f>
        <v>0.14663081741829975</v>
      </c>
      <c r="Q11" s="6">
        <v>6.1950827396956516E-2</v>
      </c>
      <c r="R11" s="6">
        <v>-4.5707791667821525E-2</v>
      </c>
      <c r="S11" s="6">
        <v>-0.10871192172298141</v>
      </c>
      <c r="T11" s="6">
        <v>-1.9513817667766182E-2</v>
      </c>
      <c r="U11" s="6">
        <v>0.13180142473043768</v>
      </c>
      <c r="W11" s="6" cm="1">
        <f t="array" ref="W11:X12">MINVERSE(W3:X4)</f>
        <v>-0.27777777777777773</v>
      </c>
      <c r="X11" s="6">
        <v>-0.22222222222222221</v>
      </c>
    </row>
    <row r="12" spans="1:24" x14ac:dyDescent="0.45">
      <c r="A12" s="6">
        <v>2.6315789473684237E-2</v>
      </c>
      <c r="B12" s="6">
        <v>4.2763157894736857E-2</v>
      </c>
      <c r="C12" s="6">
        <v>2.6315789473684209E-2</v>
      </c>
      <c r="D12" s="6">
        <v>8.5526315789473714E-2</v>
      </c>
      <c r="E12" s="6">
        <v>8.5526315789473686E-2</v>
      </c>
      <c r="G12" s="6">
        <v>2.1363636363636345</v>
      </c>
      <c r="H12" s="6">
        <v>-2.2272727272727257</v>
      </c>
      <c r="I12" s="6">
        <v>-1.4090909090909081</v>
      </c>
      <c r="K12" s="6">
        <v>-1.2924978926664795E-2</v>
      </c>
      <c r="L12" s="6">
        <v>5.1980893509412769E-2</v>
      </c>
      <c r="M12" s="6">
        <v>-8.8227030064624887E-2</v>
      </c>
      <c r="N12" s="6">
        <v>7.5864006743467322E-3</v>
      </c>
      <c r="P12" s="6">
        <v>0.19391856307342634</v>
      </c>
      <c r="Q12" s="6">
        <v>0.30310169914349877</v>
      </c>
      <c r="R12" s="6">
        <v>0.24616791861851053</v>
      </c>
      <c r="S12" s="6">
        <v>-0.27685228816143259</v>
      </c>
      <c r="T12" s="6">
        <v>-2.1648141475178195E-2</v>
      </c>
      <c r="U12" s="6">
        <v>0.2555922055603293</v>
      </c>
      <c r="W12" s="6">
        <v>-5.5555555555555552E-2</v>
      </c>
      <c r="X12" s="6">
        <v>-0.1111111111111111</v>
      </c>
    </row>
    <row r="13" spans="1:24" x14ac:dyDescent="0.45">
      <c r="A13" s="6">
        <v>7.1770334928229707E-2</v>
      </c>
      <c r="B13" s="6">
        <v>0.1166267942583732</v>
      </c>
      <c r="C13" s="6">
        <v>9.4497607655502386E-2</v>
      </c>
      <c r="D13" s="6">
        <v>-0.14174641148325359</v>
      </c>
      <c r="E13" s="6">
        <v>7.4162679425837319E-2</v>
      </c>
      <c r="G13" s="6">
        <v>0.86363636363636298</v>
      </c>
      <c r="H13" s="6">
        <v>-0.77272727272727215</v>
      </c>
      <c r="I13" s="6">
        <v>-0.5909090909090905</v>
      </c>
      <c r="K13" s="6">
        <v>1.0958134307389716E-2</v>
      </c>
      <c r="L13" s="6">
        <v>6.4624894633323979E-2</v>
      </c>
      <c r="M13" s="6">
        <v>-5.5633604945209324E-2</v>
      </c>
      <c r="N13" s="6">
        <v>-7.1649339702163528E-2</v>
      </c>
      <c r="P13" s="6">
        <v>-4.7149153200099783E-2</v>
      </c>
      <c r="Q13" s="6">
        <v>2.4503146048729094E-2</v>
      </c>
      <c r="R13" s="6">
        <v>-0.1151703301272279</v>
      </c>
      <c r="S13" s="6">
        <v>-0.21570529700363114</v>
      </c>
      <c r="T13" s="6">
        <v>0.17035784571887905</v>
      </c>
      <c r="U13" s="6">
        <v>0.11924494830501428</v>
      </c>
    </row>
    <row r="14" spans="1:24" x14ac:dyDescent="0.45">
      <c r="A14" s="6">
        <v>6.6985645933014357E-2</v>
      </c>
      <c r="B14" s="6">
        <v>-0.14114832535885166</v>
      </c>
      <c r="C14" s="6">
        <v>2.1531100478468915E-2</v>
      </c>
      <c r="D14" s="6">
        <v>-3.2296650717703337E-2</v>
      </c>
      <c r="E14" s="6">
        <v>3.5885167464114846E-2</v>
      </c>
      <c r="K14" s="6">
        <v>3.8493958977240804E-2</v>
      </c>
      <c r="L14" s="6">
        <v>0.43214386063500987</v>
      </c>
      <c r="M14" s="6">
        <v>-4.1584714807530218E-2</v>
      </c>
      <c r="N14" s="6">
        <v>-0.17476819331272833</v>
      </c>
      <c r="P14" s="6">
        <v>1.8432796518557436E-3</v>
      </c>
      <c r="Q14" s="6">
        <v>-6.6801563322892735E-2</v>
      </c>
      <c r="R14" s="6">
        <v>-0.14981844388391496</v>
      </c>
      <c r="S14" s="6">
        <v>9.4852676220306575E-2</v>
      </c>
      <c r="T14" s="6">
        <v>0.13737284142251299</v>
      </c>
      <c r="U14" s="6">
        <v>3.2375197494248414E-2</v>
      </c>
    </row>
    <row r="15" spans="1:24" x14ac:dyDescent="0.45">
      <c r="A15" s="6">
        <v>-0.10287081339712918</v>
      </c>
      <c r="B15" s="6">
        <v>8.2834928229665067E-2</v>
      </c>
      <c r="C15" s="6">
        <v>5.6220095693779892E-2</v>
      </c>
      <c r="D15" s="6">
        <v>4.0669856459330148E-2</v>
      </c>
      <c r="E15" s="6">
        <v>5.2033492822966494E-2</v>
      </c>
      <c r="P15" s="6">
        <v>-0.2323641100978463</v>
      </c>
      <c r="Q15" s="6">
        <v>-0.19552623555173665</v>
      </c>
      <c r="R15" s="6">
        <v>-0.26424037475399853</v>
      </c>
      <c r="S15" s="6">
        <v>0.15563932699503844</v>
      </c>
      <c r="T15" s="6">
        <v>0.15644316323419361</v>
      </c>
      <c r="U15" s="6">
        <v>-7.3703467583224769E-2</v>
      </c>
    </row>
    <row r="16" spans="1:24" x14ac:dyDescent="0.45">
      <c r="P16" s="6">
        <v>-0.10642514621504008</v>
      </c>
      <c r="Q16" s="6">
        <v>-0.1957202649887741</v>
      </c>
      <c r="R16" s="6">
        <v>-0.19206142417606795</v>
      </c>
      <c r="S16" s="6">
        <v>0.15508495717493145</v>
      </c>
      <c r="T16" s="6">
        <v>0.12115752418438347</v>
      </c>
      <c r="U16" s="6">
        <v>-2.7136402694237324E-2</v>
      </c>
    </row>
  </sheetData>
  <pageMargins left="0.7" right="0.7" top="0.75" bottom="0.75" header="0.3" footer="0.3"/>
  <pageSetup paperSize="9" orientation="portrait" r:id="rId1"/>
  <headerFooter differentFirst="1">
    <firstHeader>&amp;C&amp;"Times New Roman,обычный"&amp;12Крамбалев Сергей Дмитриевич, подгр.1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Krambalev Sergey</dc:creator>
  <cp:lastModifiedBy>Krambalev Sergey</cp:lastModifiedBy>
  <dcterms:created xsi:type="dcterms:W3CDTF">2025-12-18T10:42:10Z</dcterms:created>
  <dcterms:modified xsi:type="dcterms:W3CDTF">2025-12-20T11:29:34Z</dcterms:modified>
</cp:coreProperties>
</file>