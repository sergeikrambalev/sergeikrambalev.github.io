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ERZEN\IT_M\lab_2\"/>
    </mc:Choice>
  </mc:AlternateContent>
  <xr:revisionPtr revIDLastSave="0" documentId="13_ncr:1_{E27CCB71-498E-4171-B3A0-46B2C49EF7F8}" xr6:coauthVersionLast="47" xr6:coauthVersionMax="47" xr10:uidLastSave="{00000000-0000-0000-0000-000000000000}"/>
  <bookViews>
    <workbookView xWindow="-98" yWindow="-98" windowWidth="23236" windowHeight="13875" xr2:uid="{3A9D268C-585B-48B7-83D7-643642F5BDA4}"/>
  </bookViews>
  <sheets>
    <sheet name="Задание 2.1" sheetId="1" r:id="rId1"/>
    <sheet name="Задание 2.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2" l="1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B2" i="2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B89" i="1"/>
  <c r="C71" i="1"/>
  <c r="D71" i="1"/>
  <c r="E71" i="1"/>
  <c r="F71" i="1"/>
  <c r="G71" i="1"/>
  <c r="H71" i="1"/>
  <c r="I71" i="1"/>
  <c r="J71" i="1"/>
  <c r="K71" i="1"/>
  <c r="L71" i="1"/>
  <c r="B71" i="1"/>
  <c r="B69" i="1"/>
  <c r="B68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C51" i="1"/>
  <c r="B51" i="1"/>
  <c r="B49" i="1"/>
  <c r="B48" i="1"/>
  <c r="C31" i="1"/>
  <c r="D31" i="1"/>
  <c r="E31" i="1"/>
  <c r="F31" i="1"/>
  <c r="G31" i="1"/>
  <c r="H31" i="1"/>
  <c r="I31" i="1"/>
  <c r="J31" i="1"/>
  <c r="K31" i="1"/>
  <c r="L31" i="1"/>
  <c r="B31" i="1"/>
  <c r="B29" i="1"/>
  <c r="C12" i="1"/>
  <c r="D12" i="1"/>
  <c r="E12" i="1"/>
  <c r="F12" i="1"/>
  <c r="G12" i="1"/>
  <c r="H12" i="1"/>
  <c r="I12" i="1"/>
  <c r="J12" i="1"/>
  <c r="K12" i="1"/>
  <c r="L12" i="1"/>
  <c r="B12" i="1"/>
</calcChain>
</file>

<file path=xl/sharedStrings.xml><?xml version="1.0" encoding="utf-8"?>
<sst xmlns="http://schemas.openxmlformats.org/spreadsheetml/2006/main" count="26" uniqueCount="14">
  <si>
    <t>дата рождения</t>
  </si>
  <si>
    <t>день</t>
  </si>
  <si>
    <t>месяц</t>
  </si>
  <si>
    <t>год</t>
  </si>
  <si>
    <t>дом</t>
  </si>
  <si>
    <t>квартира</t>
  </si>
  <si>
    <t>вариант</t>
  </si>
  <si>
    <t>x</t>
  </si>
  <si>
    <t>y</t>
  </si>
  <si>
    <t>c</t>
  </si>
  <si>
    <t>b</t>
  </si>
  <si>
    <t>a</t>
  </si>
  <si>
    <t>отвечает за растяжение по оси y</t>
  </si>
  <si>
    <t>отвечает за растяжение по оси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</si>
</sst>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y=|a/b+|x||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2.1'!$A$12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2.1'!$B$11:$L$11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'Задание 2.1'!$B$12:$L$12</c:f>
              <c:numCache>
                <c:formatCode>General</c:formatCode>
                <c:ptCount val="11"/>
                <c:pt idx="0">
                  <c:v>5.4285714285714288</c:v>
                </c:pt>
                <c:pt idx="1">
                  <c:v>4.4285714285714288</c:v>
                </c:pt>
                <c:pt idx="2">
                  <c:v>3.4285714285714284</c:v>
                </c:pt>
                <c:pt idx="3">
                  <c:v>2.4285714285714284</c:v>
                </c:pt>
                <c:pt idx="4">
                  <c:v>1.4285714285714286</c:v>
                </c:pt>
                <c:pt idx="5">
                  <c:v>0.42857142857142855</c:v>
                </c:pt>
                <c:pt idx="6">
                  <c:v>1.4285714285714286</c:v>
                </c:pt>
                <c:pt idx="7">
                  <c:v>2.4285714285714284</c:v>
                </c:pt>
                <c:pt idx="8">
                  <c:v>3.4285714285714284</c:v>
                </c:pt>
                <c:pt idx="9">
                  <c:v>4.4285714285714288</c:v>
                </c:pt>
                <c:pt idx="10">
                  <c:v>5.4285714285714288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B9-4688-A5F0-52958A2F6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560783"/>
        <c:axId val="1596571343"/>
      </c:scatterChart>
      <c:valAx>
        <c:axId val="159656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4589916885389325"/>
              <c:y val="0.67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596571343"/>
        <c:crosses val="autoZero"/>
        <c:crossBetween val="midCat"/>
      </c:valAx>
      <c:valAx>
        <c:axId val="159657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52777777777777779"/>
              <c:y val="0.130004009915427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59656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y=ax^2+bx+c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2.1'!$A$31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2.1'!$B$30:$L$30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'Задание 2.1'!$B$31:$L$31</c:f>
              <c:numCache>
                <c:formatCode>General</c:formatCode>
                <c:ptCount val="11"/>
                <c:pt idx="0">
                  <c:v>46</c:v>
                </c:pt>
                <c:pt idx="1">
                  <c:v>26</c:v>
                </c:pt>
                <c:pt idx="2">
                  <c:v>12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16</c:v>
                </c:pt>
                <c:pt idx="7">
                  <c:v>32</c:v>
                </c:pt>
                <c:pt idx="8">
                  <c:v>54</c:v>
                </c:pt>
                <c:pt idx="9">
                  <c:v>82</c:v>
                </c:pt>
                <c:pt idx="10">
                  <c:v>116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13-454E-B643-FBFDC411A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546383"/>
        <c:axId val="1596546863"/>
      </c:scatterChart>
      <c:valAx>
        <c:axId val="159654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4710411198600175"/>
              <c:y val="0.67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596546863"/>
        <c:crosses val="autoZero"/>
        <c:crossBetween val="midCat"/>
      </c:valAx>
      <c:valAx>
        <c:axId val="159654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53333333333333333"/>
              <c:y val="0.1281638232720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59654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y=|-5x^2+bx+c|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2.1'!$A$51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2.1'!$B$50:$AP$50</c:f>
              <c:numCache>
                <c:formatCode>General</c:formatCode>
                <c:ptCount val="41"/>
                <c:pt idx="0">
                  <c:v>-10</c:v>
                </c:pt>
                <c:pt idx="1">
                  <c:v>-9.5</c:v>
                </c:pt>
                <c:pt idx="2">
                  <c:v>-9</c:v>
                </c:pt>
                <c:pt idx="3">
                  <c:v>-8.5</c:v>
                </c:pt>
                <c:pt idx="4">
                  <c:v>-8</c:v>
                </c:pt>
                <c:pt idx="5">
                  <c:v>-7.5</c:v>
                </c:pt>
                <c:pt idx="6">
                  <c:v>-7</c:v>
                </c:pt>
                <c:pt idx="7">
                  <c:v>-6.5</c:v>
                </c:pt>
                <c:pt idx="8">
                  <c:v>-6</c:v>
                </c:pt>
                <c:pt idx="9">
                  <c:v>-5.5</c:v>
                </c:pt>
                <c:pt idx="10">
                  <c:v>-5</c:v>
                </c:pt>
                <c:pt idx="11">
                  <c:v>-4.5</c:v>
                </c:pt>
                <c:pt idx="12">
                  <c:v>-4</c:v>
                </c:pt>
                <c:pt idx="13">
                  <c:v>-3.5</c:v>
                </c:pt>
                <c:pt idx="14">
                  <c:v>-3</c:v>
                </c:pt>
                <c:pt idx="15">
                  <c:v>-2.5</c:v>
                </c:pt>
                <c:pt idx="16">
                  <c:v>-2</c:v>
                </c:pt>
                <c:pt idx="17">
                  <c:v>-1.5</c:v>
                </c:pt>
                <c:pt idx="18">
                  <c:v>-1</c:v>
                </c:pt>
                <c:pt idx="19">
                  <c:v>-0.5</c:v>
                </c:pt>
                <c:pt idx="20">
                  <c:v>0</c:v>
                </c:pt>
                <c:pt idx="21">
                  <c:v>0.5</c:v>
                </c:pt>
                <c:pt idx="22">
                  <c:v>1</c:v>
                </c:pt>
                <c:pt idx="23">
                  <c:v>1.5</c:v>
                </c:pt>
                <c:pt idx="24">
                  <c:v>2</c:v>
                </c:pt>
                <c:pt idx="25">
                  <c:v>2.5</c:v>
                </c:pt>
                <c:pt idx="26">
                  <c:v>3</c:v>
                </c:pt>
                <c:pt idx="27">
                  <c:v>3.5</c:v>
                </c:pt>
                <c:pt idx="28">
                  <c:v>4</c:v>
                </c:pt>
                <c:pt idx="29">
                  <c:v>4.5</c:v>
                </c:pt>
                <c:pt idx="30">
                  <c:v>5</c:v>
                </c:pt>
                <c:pt idx="31">
                  <c:v>5.5</c:v>
                </c:pt>
                <c:pt idx="32">
                  <c:v>6</c:v>
                </c:pt>
                <c:pt idx="33">
                  <c:v>6.5</c:v>
                </c:pt>
                <c:pt idx="34">
                  <c:v>7</c:v>
                </c:pt>
                <c:pt idx="35">
                  <c:v>7.5</c:v>
                </c:pt>
                <c:pt idx="36">
                  <c:v>8</c:v>
                </c:pt>
                <c:pt idx="37">
                  <c:v>8.5</c:v>
                </c:pt>
                <c:pt idx="38">
                  <c:v>9</c:v>
                </c:pt>
                <c:pt idx="39">
                  <c:v>9.5</c:v>
                </c:pt>
                <c:pt idx="40">
                  <c:v>10</c:v>
                </c:pt>
              </c:numCache>
            </c:numRef>
          </c:xVal>
          <c:yVal>
            <c:numRef>
              <c:f>'Задание 2.1'!$B$51:$AP$51</c:f>
              <c:numCache>
                <c:formatCode>General</c:formatCode>
                <c:ptCount val="41"/>
                <c:pt idx="0">
                  <c:v>527</c:v>
                </c:pt>
                <c:pt idx="1">
                  <c:v>474.91666666666669</c:v>
                </c:pt>
                <c:pt idx="2">
                  <c:v>425.33333333333331</c:v>
                </c:pt>
                <c:pt idx="3">
                  <c:v>378.25</c:v>
                </c:pt>
                <c:pt idx="4">
                  <c:v>333.66666666666663</c:v>
                </c:pt>
                <c:pt idx="5">
                  <c:v>291.58333333333331</c:v>
                </c:pt>
                <c:pt idx="6">
                  <c:v>252.00000000000003</c:v>
                </c:pt>
                <c:pt idx="7">
                  <c:v>214.91666666666669</c:v>
                </c:pt>
                <c:pt idx="8">
                  <c:v>180.33333333333334</c:v>
                </c:pt>
                <c:pt idx="9">
                  <c:v>148.25000000000003</c:v>
                </c:pt>
                <c:pt idx="10">
                  <c:v>118.66666666666669</c:v>
                </c:pt>
                <c:pt idx="11">
                  <c:v>91.583333333333343</c:v>
                </c:pt>
                <c:pt idx="12">
                  <c:v>67</c:v>
                </c:pt>
                <c:pt idx="13">
                  <c:v>44.916666666666679</c:v>
                </c:pt>
                <c:pt idx="14">
                  <c:v>25.333333333333336</c:v>
                </c:pt>
                <c:pt idx="15">
                  <c:v>8.2500000000000071</c:v>
                </c:pt>
                <c:pt idx="16">
                  <c:v>6.3333333333333286</c:v>
                </c:pt>
                <c:pt idx="17">
                  <c:v>18.416666666666664</c:v>
                </c:pt>
                <c:pt idx="18">
                  <c:v>27.999999999999996</c:v>
                </c:pt>
                <c:pt idx="19">
                  <c:v>35.083333333333329</c:v>
                </c:pt>
                <c:pt idx="20">
                  <c:v>39.666666666666664</c:v>
                </c:pt>
                <c:pt idx="21">
                  <c:v>41.75</c:v>
                </c:pt>
                <c:pt idx="22">
                  <c:v>41.333333333333329</c:v>
                </c:pt>
                <c:pt idx="23">
                  <c:v>38.416666666666664</c:v>
                </c:pt>
                <c:pt idx="24">
                  <c:v>33</c:v>
                </c:pt>
                <c:pt idx="25">
                  <c:v>25.083333333333332</c:v>
                </c:pt>
                <c:pt idx="26">
                  <c:v>14.666666666666664</c:v>
                </c:pt>
                <c:pt idx="27">
                  <c:v>1.75</c:v>
                </c:pt>
                <c:pt idx="28">
                  <c:v>13.666666666666664</c:v>
                </c:pt>
                <c:pt idx="29">
                  <c:v>31.583333333333336</c:v>
                </c:pt>
                <c:pt idx="30">
                  <c:v>51.999999999999993</c:v>
                </c:pt>
                <c:pt idx="31">
                  <c:v>74.916666666666657</c:v>
                </c:pt>
                <c:pt idx="32">
                  <c:v>100.33333333333334</c:v>
                </c:pt>
                <c:pt idx="33">
                  <c:v>128.25</c:v>
                </c:pt>
                <c:pt idx="34">
                  <c:v>158.66666666666666</c:v>
                </c:pt>
                <c:pt idx="35">
                  <c:v>191.58333333333334</c:v>
                </c:pt>
                <c:pt idx="36">
                  <c:v>227.00000000000003</c:v>
                </c:pt>
                <c:pt idx="37">
                  <c:v>264.91666666666663</c:v>
                </c:pt>
                <c:pt idx="38">
                  <c:v>305.33333333333331</c:v>
                </c:pt>
                <c:pt idx="39">
                  <c:v>348.25</c:v>
                </c:pt>
                <c:pt idx="40">
                  <c:v>393.66666666666663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1B-4EC3-8D24-901C87DFB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710559"/>
        <c:axId val="1644728799"/>
      </c:scatterChart>
      <c:valAx>
        <c:axId val="164471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4034361329833793"/>
              <c:y val="0.68886555847185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644728799"/>
        <c:crosses val="autoZero"/>
        <c:crossBetween val="midCat"/>
      </c:valAx>
      <c:valAx>
        <c:axId val="164472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53333333333333333"/>
              <c:y val="0.13926326917468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64471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y=log[36](11)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2.1'!$A$71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2.1'!$B$70:$L$70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'Задание 2.1'!$B$71:$L$71</c:f>
              <c:numCache>
                <c:formatCode>General</c:formatCode>
                <c:ptCount val="11"/>
                <c:pt idx="0">
                  <c:v>0.66914541655288629</c:v>
                </c:pt>
                <c:pt idx="1">
                  <c:v>0.66914541655288629</c:v>
                </c:pt>
                <c:pt idx="2">
                  <c:v>0.66914541655288629</c:v>
                </c:pt>
                <c:pt idx="3">
                  <c:v>0.66914541655288629</c:v>
                </c:pt>
                <c:pt idx="4">
                  <c:v>0.66914541655288629</c:v>
                </c:pt>
                <c:pt idx="5">
                  <c:v>0.66914541655288629</c:v>
                </c:pt>
                <c:pt idx="6">
                  <c:v>0.66914541655288629</c:v>
                </c:pt>
                <c:pt idx="7">
                  <c:v>0.66914541655288629</c:v>
                </c:pt>
                <c:pt idx="8">
                  <c:v>0.66914541655288629</c:v>
                </c:pt>
                <c:pt idx="9">
                  <c:v>0.66914541655288629</c:v>
                </c:pt>
                <c:pt idx="10">
                  <c:v>0.66914541655288629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C5-4CF5-8934-7DB7E3C2B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751359"/>
        <c:axId val="1644759999"/>
      </c:scatterChart>
      <c:valAx>
        <c:axId val="164475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4589916885389325"/>
              <c:y val="0.670347039953339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644759999"/>
        <c:crosses val="autoZero"/>
        <c:crossBetween val="midCat"/>
      </c:valAx>
      <c:valAx>
        <c:axId val="164475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52777777777777779"/>
              <c:y val="0.12537438028579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64475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Эллиптический параболоид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2.1'!$A$89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1">
                <a:shade val="36000"/>
              </a:schemeClr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2.1'!$B$89:$V$89</c:f>
              <c:numCache>
                <c:formatCode>General</c:formatCode>
                <c:ptCount val="21"/>
                <c:pt idx="0">
                  <c:v>50</c:v>
                </c:pt>
                <c:pt idx="1">
                  <c:v>45.25</c:v>
                </c:pt>
                <c:pt idx="2">
                  <c:v>41</c:v>
                </c:pt>
                <c:pt idx="3">
                  <c:v>37.25</c:v>
                </c:pt>
                <c:pt idx="4">
                  <c:v>34</c:v>
                </c:pt>
                <c:pt idx="5">
                  <c:v>31.25</c:v>
                </c:pt>
                <c:pt idx="6">
                  <c:v>29</c:v>
                </c:pt>
                <c:pt idx="7">
                  <c:v>27.25</c:v>
                </c:pt>
                <c:pt idx="8">
                  <c:v>26</c:v>
                </c:pt>
                <c:pt idx="9">
                  <c:v>25.25</c:v>
                </c:pt>
                <c:pt idx="10">
                  <c:v>25</c:v>
                </c:pt>
                <c:pt idx="11">
                  <c:v>25.25</c:v>
                </c:pt>
                <c:pt idx="12">
                  <c:v>26</c:v>
                </c:pt>
                <c:pt idx="13">
                  <c:v>27.25</c:v>
                </c:pt>
                <c:pt idx="14">
                  <c:v>29</c:v>
                </c:pt>
                <c:pt idx="15">
                  <c:v>31.25</c:v>
                </c:pt>
                <c:pt idx="16">
                  <c:v>34</c:v>
                </c:pt>
                <c:pt idx="17">
                  <c:v>37.25</c:v>
                </c:pt>
                <c:pt idx="18">
                  <c:v>41</c:v>
                </c:pt>
                <c:pt idx="19">
                  <c:v>45.25</c:v>
                </c:pt>
                <c:pt idx="2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0-4FB8-8D35-58D08DBFC691}"/>
            </c:ext>
          </c:extLst>
        </c:ser>
        <c:ser>
          <c:idx val="1"/>
          <c:order val="1"/>
          <c:tx>
            <c:strRef>
              <c:f>'Задание 2.1'!$A$90</c:f>
              <c:strCache>
                <c:ptCount val="1"/>
                <c:pt idx="0">
                  <c:v>-4,5</c:v>
                </c:pt>
              </c:strCache>
            </c:strRef>
          </c:tx>
          <c:spPr>
            <a:solidFill>
              <a:schemeClr val="accent1">
                <a:shade val="42000"/>
              </a:schemeClr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2.1'!$B$90:$V$90</c:f>
              <c:numCache>
                <c:formatCode>General</c:formatCode>
                <c:ptCount val="21"/>
                <c:pt idx="0">
                  <c:v>45.25</c:v>
                </c:pt>
                <c:pt idx="1">
                  <c:v>40.5</c:v>
                </c:pt>
                <c:pt idx="2">
                  <c:v>36.25</c:v>
                </c:pt>
                <c:pt idx="3">
                  <c:v>32.5</c:v>
                </c:pt>
                <c:pt idx="4">
                  <c:v>29.25</c:v>
                </c:pt>
                <c:pt idx="5">
                  <c:v>26.5</c:v>
                </c:pt>
                <c:pt idx="6">
                  <c:v>24.25</c:v>
                </c:pt>
                <c:pt idx="7">
                  <c:v>22.5</c:v>
                </c:pt>
                <c:pt idx="8">
                  <c:v>21.25</c:v>
                </c:pt>
                <c:pt idx="9">
                  <c:v>20.5</c:v>
                </c:pt>
                <c:pt idx="10">
                  <c:v>20.25</c:v>
                </c:pt>
                <c:pt idx="11">
                  <c:v>20.5</c:v>
                </c:pt>
                <c:pt idx="12">
                  <c:v>21.25</c:v>
                </c:pt>
                <c:pt idx="13">
                  <c:v>22.5</c:v>
                </c:pt>
                <c:pt idx="14">
                  <c:v>24.25</c:v>
                </c:pt>
                <c:pt idx="15">
                  <c:v>26.5</c:v>
                </c:pt>
                <c:pt idx="16">
                  <c:v>29.25</c:v>
                </c:pt>
                <c:pt idx="17">
                  <c:v>32.5</c:v>
                </c:pt>
                <c:pt idx="18">
                  <c:v>36.25</c:v>
                </c:pt>
                <c:pt idx="19">
                  <c:v>40.5</c:v>
                </c:pt>
                <c:pt idx="20">
                  <c:v>45.25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C0-4FB8-8D35-58D08DBFC691}"/>
            </c:ext>
          </c:extLst>
        </c:ser>
        <c:ser>
          <c:idx val="2"/>
          <c:order val="2"/>
          <c:tx>
            <c:strRef>
              <c:f>'Задание 2.1'!$A$91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1">
                <a:shade val="49000"/>
              </a:schemeClr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2.1'!$B$91:$V$91</c:f>
              <c:numCache>
                <c:formatCode>General</c:formatCode>
                <c:ptCount val="21"/>
                <c:pt idx="0">
                  <c:v>41</c:v>
                </c:pt>
                <c:pt idx="1">
                  <c:v>36.25</c:v>
                </c:pt>
                <c:pt idx="2">
                  <c:v>32</c:v>
                </c:pt>
                <c:pt idx="3">
                  <c:v>28.25</c:v>
                </c:pt>
                <c:pt idx="4">
                  <c:v>25</c:v>
                </c:pt>
                <c:pt idx="5">
                  <c:v>22.25</c:v>
                </c:pt>
                <c:pt idx="6">
                  <c:v>20</c:v>
                </c:pt>
                <c:pt idx="7">
                  <c:v>18.25</c:v>
                </c:pt>
                <c:pt idx="8">
                  <c:v>17</c:v>
                </c:pt>
                <c:pt idx="9">
                  <c:v>16.25</c:v>
                </c:pt>
                <c:pt idx="10">
                  <c:v>16</c:v>
                </c:pt>
                <c:pt idx="11">
                  <c:v>16.25</c:v>
                </c:pt>
                <c:pt idx="12">
                  <c:v>17</c:v>
                </c:pt>
                <c:pt idx="13">
                  <c:v>18.25</c:v>
                </c:pt>
                <c:pt idx="14">
                  <c:v>20</c:v>
                </c:pt>
                <c:pt idx="15">
                  <c:v>22.25</c:v>
                </c:pt>
                <c:pt idx="16">
                  <c:v>25</c:v>
                </c:pt>
                <c:pt idx="17">
                  <c:v>28.25</c:v>
                </c:pt>
                <c:pt idx="18">
                  <c:v>32</c:v>
                </c:pt>
                <c:pt idx="19">
                  <c:v>36.25</c:v>
                </c:pt>
                <c:pt idx="2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C0-4FB8-8D35-58D08DBFC691}"/>
            </c:ext>
          </c:extLst>
        </c:ser>
        <c:ser>
          <c:idx val="3"/>
          <c:order val="3"/>
          <c:tx>
            <c:strRef>
              <c:f>'Задание 2.1'!$A$92</c:f>
              <c:strCache>
                <c:ptCount val="1"/>
                <c:pt idx="0">
                  <c:v>-3,5</c:v>
                </c:pt>
              </c:strCache>
            </c:strRef>
          </c:tx>
          <c:spPr>
            <a:solidFill>
              <a:schemeClr val="accent1">
                <a:shade val="55000"/>
              </a:schemeClr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2.1'!$B$92:$V$92</c:f>
              <c:numCache>
                <c:formatCode>General</c:formatCode>
                <c:ptCount val="21"/>
                <c:pt idx="0">
                  <c:v>37.25</c:v>
                </c:pt>
                <c:pt idx="1">
                  <c:v>32.5</c:v>
                </c:pt>
                <c:pt idx="2">
                  <c:v>28.25</c:v>
                </c:pt>
                <c:pt idx="3">
                  <c:v>24.5</c:v>
                </c:pt>
                <c:pt idx="4">
                  <c:v>21.25</c:v>
                </c:pt>
                <c:pt idx="5">
                  <c:v>18.5</c:v>
                </c:pt>
                <c:pt idx="6">
                  <c:v>16.25</c:v>
                </c:pt>
                <c:pt idx="7">
                  <c:v>14.5</c:v>
                </c:pt>
                <c:pt idx="8">
                  <c:v>13.25</c:v>
                </c:pt>
                <c:pt idx="9">
                  <c:v>12.5</c:v>
                </c:pt>
                <c:pt idx="10">
                  <c:v>12.25</c:v>
                </c:pt>
                <c:pt idx="11">
                  <c:v>12.5</c:v>
                </c:pt>
                <c:pt idx="12">
                  <c:v>13.25</c:v>
                </c:pt>
                <c:pt idx="13">
                  <c:v>14.5</c:v>
                </c:pt>
                <c:pt idx="14">
                  <c:v>16.25</c:v>
                </c:pt>
                <c:pt idx="15">
                  <c:v>18.5</c:v>
                </c:pt>
                <c:pt idx="16">
                  <c:v>21.25</c:v>
                </c:pt>
                <c:pt idx="17">
                  <c:v>24.5</c:v>
                </c:pt>
                <c:pt idx="18">
                  <c:v>28.25</c:v>
                </c:pt>
                <c:pt idx="19">
                  <c:v>32.5</c:v>
                </c:pt>
                <c:pt idx="20">
                  <c:v>37.25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C0-4FB8-8D35-58D08DBFC691}"/>
            </c:ext>
          </c:extLst>
        </c:ser>
        <c:ser>
          <c:idx val="4"/>
          <c:order val="4"/>
          <c:tx>
            <c:strRef>
              <c:f>'Задание 2.1'!$A$93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1">
                <a:shade val="61000"/>
              </a:schemeClr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2.1'!$B$93:$V$93</c:f>
              <c:numCache>
                <c:formatCode>General</c:formatCode>
                <c:ptCount val="21"/>
                <c:pt idx="0">
                  <c:v>34</c:v>
                </c:pt>
                <c:pt idx="1">
                  <c:v>29.25</c:v>
                </c:pt>
                <c:pt idx="2">
                  <c:v>25</c:v>
                </c:pt>
                <c:pt idx="3">
                  <c:v>21.25</c:v>
                </c:pt>
                <c:pt idx="4">
                  <c:v>18</c:v>
                </c:pt>
                <c:pt idx="5">
                  <c:v>15.25</c:v>
                </c:pt>
                <c:pt idx="6">
                  <c:v>13</c:v>
                </c:pt>
                <c:pt idx="7">
                  <c:v>11.25</c:v>
                </c:pt>
                <c:pt idx="8">
                  <c:v>10</c:v>
                </c:pt>
                <c:pt idx="9">
                  <c:v>9.25</c:v>
                </c:pt>
                <c:pt idx="10">
                  <c:v>9</c:v>
                </c:pt>
                <c:pt idx="11">
                  <c:v>9.25</c:v>
                </c:pt>
                <c:pt idx="12">
                  <c:v>10</c:v>
                </c:pt>
                <c:pt idx="13">
                  <c:v>11.25</c:v>
                </c:pt>
                <c:pt idx="14">
                  <c:v>13</c:v>
                </c:pt>
                <c:pt idx="15">
                  <c:v>15.25</c:v>
                </c:pt>
                <c:pt idx="16">
                  <c:v>18</c:v>
                </c:pt>
                <c:pt idx="17">
                  <c:v>21.25</c:v>
                </c:pt>
                <c:pt idx="18">
                  <c:v>25</c:v>
                </c:pt>
                <c:pt idx="19">
                  <c:v>29.25</c:v>
                </c:pt>
                <c:pt idx="2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C0-4FB8-8D35-58D08DBFC691}"/>
            </c:ext>
          </c:extLst>
        </c:ser>
        <c:ser>
          <c:idx val="5"/>
          <c:order val="5"/>
          <c:tx>
            <c:strRef>
              <c:f>'Задание 2.1'!$A$94</c:f>
              <c:strCache>
                <c:ptCount val="1"/>
                <c:pt idx="0">
                  <c:v>-2,5</c:v>
                </c:pt>
              </c:strCache>
            </c:strRef>
          </c:tx>
          <c:spPr>
            <a:solidFill>
              <a:schemeClr val="accent1">
                <a:shade val="68000"/>
              </a:schemeClr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2.1'!$B$94:$V$94</c:f>
              <c:numCache>
                <c:formatCode>General</c:formatCode>
                <c:ptCount val="21"/>
                <c:pt idx="0">
                  <c:v>31.25</c:v>
                </c:pt>
                <c:pt idx="1">
                  <c:v>26.5</c:v>
                </c:pt>
                <c:pt idx="2">
                  <c:v>22.25</c:v>
                </c:pt>
                <c:pt idx="3">
                  <c:v>18.5</c:v>
                </c:pt>
                <c:pt idx="4">
                  <c:v>15.25</c:v>
                </c:pt>
                <c:pt idx="5">
                  <c:v>12.5</c:v>
                </c:pt>
                <c:pt idx="6">
                  <c:v>10.25</c:v>
                </c:pt>
                <c:pt idx="7">
                  <c:v>8.5</c:v>
                </c:pt>
                <c:pt idx="8">
                  <c:v>7.25</c:v>
                </c:pt>
                <c:pt idx="9">
                  <c:v>6.5</c:v>
                </c:pt>
                <c:pt idx="10">
                  <c:v>6.25</c:v>
                </c:pt>
                <c:pt idx="11">
                  <c:v>6.5</c:v>
                </c:pt>
                <c:pt idx="12">
                  <c:v>7.25</c:v>
                </c:pt>
                <c:pt idx="13">
                  <c:v>8.5</c:v>
                </c:pt>
                <c:pt idx="14">
                  <c:v>10.25</c:v>
                </c:pt>
                <c:pt idx="15">
                  <c:v>12.5</c:v>
                </c:pt>
                <c:pt idx="16">
                  <c:v>15.25</c:v>
                </c:pt>
                <c:pt idx="17">
                  <c:v>18.5</c:v>
                </c:pt>
                <c:pt idx="18">
                  <c:v>22.25</c:v>
                </c:pt>
                <c:pt idx="19">
                  <c:v>26.5</c:v>
                </c:pt>
                <c:pt idx="20">
                  <c:v>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C0-4FB8-8D35-58D08DBFC691}"/>
            </c:ext>
          </c:extLst>
        </c:ser>
        <c:ser>
          <c:idx val="6"/>
          <c:order val="6"/>
          <c:tx>
            <c:strRef>
              <c:f>'Задание 2.1'!$A$95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1">
                <a:shade val="74000"/>
              </a:schemeClr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2.1'!$B$95:$V$95</c:f>
              <c:numCache>
                <c:formatCode>General</c:formatCode>
                <c:ptCount val="21"/>
                <c:pt idx="0">
                  <c:v>29</c:v>
                </c:pt>
                <c:pt idx="1">
                  <c:v>24.25</c:v>
                </c:pt>
                <c:pt idx="2">
                  <c:v>20</c:v>
                </c:pt>
                <c:pt idx="3">
                  <c:v>16.25</c:v>
                </c:pt>
                <c:pt idx="4">
                  <c:v>13</c:v>
                </c:pt>
                <c:pt idx="5">
                  <c:v>10.25</c:v>
                </c:pt>
                <c:pt idx="6">
                  <c:v>8</c:v>
                </c:pt>
                <c:pt idx="7">
                  <c:v>6.25</c:v>
                </c:pt>
                <c:pt idx="8">
                  <c:v>5</c:v>
                </c:pt>
                <c:pt idx="9">
                  <c:v>4.25</c:v>
                </c:pt>
                <c:pt idx="10">
                  <c:v>4</c:v>
                </c:pt>
                <c:pt idx="11">
                  <c:v>4.25</c:v>
                </c:pt>
                <c:pt idx="12">
                  <c:v>5</c:v>
                </c:pt>
                <c:pt idx="13">
                  <c:v>6.25</c:v>
                </c:pt>
                <c:pt idx="14">
                  <c:v>8</c:v>
                </c:pt>
                <c:pt idx="15">
                  <c:v>10.25</c:v>
                </c:pt>
                <c:pt idx="16">
                  <c:v>13</c:v>
                </c:pt>
                <c:pt idx="17">
                  <c:v>16.25</c:v>
                </c:pt>
                <c:pt idx="18">
                  <c:v>20</c:v>
                </c:pt>
                <c:pt idx="19">
                  <c:v>24.25</c:v>
                </c:pt>
                <c:pt idx="2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C0-4FB8-8D35-58D08DBFC691}"/>
            </c:ext>
          </c:extLst>
        </c:ser>
        <c:ser>
          <c:idx val="7"/>
          <c:order val="7"/>
          <c:tx>
            <c:strRef>
              <c:f>'Задание 2.1'!$A$96</c:f>
              <c:strCache>
                <c:ptCount val="1"/>
                <c:pt idx="0">
                  <c:v>-1,5</c:v>
                </c:pt>
              </c:strCache>
            </c:strRef>
          </c:tx>
          <c:spPr>
            <a:solidFill>
              <a:schemeClr val="accent1">
                <a:shade val="80000"/>
              </a:schemeClr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2.1'!$B$96:$V$96</c:f>
              <c:numCache>
                <c:formatCode>General</c:formatCode>
                <c:ptCount val="21"/>
                <c:pt idx="0">
                  <c:v>27.25</c:v>
                </c:pt>
                <c:pt idx="1">
                  <c:v>22.5</c:v>
                </c:pt>
                <c:pt idx="2">
                  <c:v>18.25</c:v>
                </c:pt>
                <c:pt idx="3">
                  <c:v>14.5</c:v>
                </c:pt>
                <c:pt idx="4">
                  <c:v>11.25</c:v>
                </c:pt>
                <c:pt idx="5">
                  <c:v>8.5</c:v>
                </c:pt>
                <c:pt idx="6">
                  <c:v>6.25</c:v>
                </c:pt>
                <c:pt idx="7">
                  <c:v>4.5</c:v>
                </c:pt>
                <c:pt idx="8">
                  <c:v>3.25</c:v>
                </c:pt>
                <c:pt idx="9">
                  <c:v>2.5</c:v>
                </c:pt>
                <c:pt idx="10">
                  <c:v>2.25</c:v>
                </c:pt>
                <c:pt idx="11">
                  <c:v>2.5</c:v>
                </c:pt>
                <c:pt idx="12">
                  <c:v>3.25</c:v>
                </c:pt>
                <c:pt idx="13">
                  <c:v>4.5</c:v>
                </c:pt>
                <c:pt idx="14">
                  <c:v>6.25</c:v>
                </c:pt>
                <c:pt idx="15">
                  <c:v>8.5</c:v>
                </c:pt>
                <c:pt idx="16">
                  <c:v>11.25</c:v>
                </c:pt>
                <c:pt idx="17">
                  <c:v>14.5</c:v>
                </c:pt>
                <c:pt idx="18">
                  <c:v>18.25</c:v>
                </c:pt>
                <c:pt idx="19">
                  <c:v>22.5</c:v>
                </c:pt>
                <c:pt idx="20">
                  <c:v>27.25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C0-4FB8-8D35-58D08DBFC691}"/>
            </c:ext>
          </c:extLst>
        </c:ser>
        <c:ser>
          <c:idx val="8"/>
          <c:order val="8"/>
          <c:tx>
            <c:strRef>
              <c:f>'Задание 2.1'!$A$97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1">
                <a:shade val="87000"/>
              </a:schemeClr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2.1'!$B$97:$V$97</c:f>
              <c:numCache>
                <c:formatCode>General</c:formatCode>
                <c:ptCount val="21"/>
                <c:pt idx="0">
                  <c:v>26</c:v>
                </c:pt>
                <c:pt idx="1">
                  <c:v>21.25</c:v>
                </c:pt>
                <c:pt idx="2">
                  <c:v>17</c:v>
                </c:pt>
                <c:pt idx="3">
                  <c:v>13.25</c:v>
                </c:pt>
                <c:pt idx="4">
                  <c:v>10</c:v>
                </c:pt>
                <c:pt idx="5">
                  <c:v>7.25</c:v>
                </c:pt>
                <c:pt idx="6">
                  <c:v>5</c:v>
                </c:pt>
                <c:pt idx="7">
                  <c:v>3.25</c:v>
                </c:pt>
                <c:pt idx="8">
                  <c:v>2</c:v>
                </c:pt>
                <c:pt idx="9">
                  <c:v>1.25</c:v>
                </c:pt>
                <c:pt idx="10">
                  <c:v>1</c:v>
                </c:pt>
                <c:pt idx="11">
                  <c:v>1.25</c:v>
                </c:pt>
                <c:pt idx="12">
                  <c:v>2</c:v>
                </c:pt>
                <c:pt idx="13">
                  <c:v>3.25</c:v>
                </c:pt>
                <c:pt idx="14">
                  <c:v>5</c:v>
                </c:pt>
                <c:pt idx="15">
                  <c:v>7.25</c:v>
                </c:pt>
                <c:pt idx="16">
                  <c:v>10</c:v>
                </c:pt>
                <c:pt idx="17">
                  <c:v>13.25</c:v>
                </c:pt>
                <c:pt idx="18">
                  <c:v>17</c:v>
                </c:pt>
                <c:pt idx="19">
                  <c:v>21.25</c:v>
                </c:pt>
                <c:pt idx="2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C0-4FB8-8D35-58D08DBFC691}"/>
            </c:ext>
          </c:extLst>
        </c:ser>
        <c:ser>
          <c:idx val="9"/>
          <c:order val="9"/>
          <c:tx>
            <c:strRef>
              <c:f>'Задание 2.1'!$A$98</c:f>
              <c:strCache>
                <c:ptCount val="1"/>
                <c:pt idx="0">
                  <c:v>-0,5</c:v>
                </c:pt>
              </c:strCache>
            </c:strRef>
          </c:tx>
          <c:spPr>
            <a:solidFill>
              <a:schemeClr val="accent1">
                <a:shade val="93000"/>
              </a:schemeClr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2.1'!$B$98:$V$98</c:f>
              <c:numCache>
                <c:formatCode>General</c:formatCode>
                <c:ptCount val="21"/>
                <c:pt idx="0">
                  <c:v>25.25</c:v>
                </c:pt>
                <c:pt idx="1">
                  <c:v>20.5</c:v>
                </c:pt>
                <c:pt idx="2">
                  <c:v>16.25</c:v>
                </c:pt>
                <c:pt idx="3">
                  <c:v>12.5</c:v>
                </c:pt>
                <c:pt idx="4">
                  <c:v>9.25</c:v>
                </c:pt>
                <c:pt idx="5">
                  <c:v>6.5</c:v>
                </c:pt>
                <c:pt idx="6">
                  <c:v>4.25</c:v>
                </c:pt>
                <c:pt idx="7">
                  <c:v>2.5</c:v>
                </c:pt>
                <c:pt idx="8">
                  <c:v>1.25</c:v>
                </c:pt>
                <c:pt idx="9">
                  <c:v>0.5</c:v>
                </c:pt>
                <c:pt idx="10">
                  <c:v>0.25</c:v>
                </c:pt>
                <c:pt idx="11">
                  <c:v>0.5</c:v>
                </c:pt>
                <c:pt idx="12">
                  <c:v>1.25</c:v>
                </c:pt>
                <c:pt idx="13">
                  <c:v>2.5</c:v>
                </c:pt>
                <c:pt idx="14">
                  <c:v>4.25</c:v>
                </c:pt>
                <c:pt idx="15">
                  <c:v>6.5</c:v>
                </c:pt>
                <c:pt idx="16">
                  <c:v>9.25</c:v>
                </c:pt>
                <c:pt idx="17">
                  <c:v>12.5</c:v>
                </c:pt>
                <c:pt idx="18">
                  <c:v>16.25</c:v>
                </c:pt>
                <c:pt idx="19">
                  <c:v>20.5</c:v>
                </c:pt>
                <c:pt idx="20">
                  <c:v>25.25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C0-4FB8-8D35-58D08DBFC691}"/>
            </c:ext>
          </c:extLst>
        </c:ser>
        <c:ser>
          <c:idx val="10"/>
          <c:order val="10"/>
          <c:tx>
            <c:strRef>
              <c:f>'Задание 2.1'!$A$99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2.1'!$B$99:$V$99</c:f>
              <c:numCache>
                <c:formatCode>General</c:formatCode>
                <c:ptCount val="21"/>
                <c:pt idx="0">
                  <c:v>25</c:v>
                </c:pt>
                <c:pt idx="1">
                  <c:v>20.25</c:v>
                </c:pt>
                <c:pt idx="2">
                  <c:v>16</c:v>
                </c:pt>
                <c:pt idx="3">
                  <c:v>12.25</c:v>
                </c:pt>
                <c:pt idx="4">
                  <c:v>9</c:v>
                </c:pt>
                <c:pt idx="5">
                  <c:v>6.25</c:v>
                </c:pt>
                <c:pt idx="6">
                  <c:v>4</c:v>
                </c:pt>
                <c:pt idx="7">
                  <c:v>2.25</c:v>
                </c:pt>
                <c:pt idx="8">
                  <c:v>1</c:v>
                </c:pt>
                <c:pt idx="9">
                  <c:v>0.25</c:v>
                </c:pt>
                <c:pt idx="10">
                  <c:v>0</c:v>
                </c:pt>
                <c:pt idx="11">
                  <c:v>0.25</c:v>
                </c:pt>
                <c:pt idx="12">
                  <c:v>1</c:v>
                </c:pt>
                <c:pt idx="13">
                  <c:v>2.25</c:v>
                </c:pt>
                <c:pt idx="14">
                  <c:v>4</c:v>
                </c:pt>
                <c:pt idx="15">
                  <c:v>6.25</c:v>
                </c:pt>
                <c:pt idx="16">
                  <c:v>9</c:v>
                </c:pt>
                <c:pt idx="17">
                  <c:v>12.25</c:v>
                </c:pt>
                <c:pt idx="18">
                  <c:v>16</c:v>
                </c:pt>
                <c:pt idx="19">
                  <c:v>20.25</c:v>
                </c:pt>
                <c:pt idx="2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C0-4FB8-8D35-58D08DBFC691}"/>
            </c:ext>
          </c:extLst>
        </c:ser>
        <c:ser>
          <c:idx val="11"/>
          <c:order val="11"/>
          <c:tx>
            <c:strRef>
              <c:f>'Задание 2.1'!$A$100</c:f>
              <c:strCache>
                <c:ptCount val="1"/>
                <c:pt idx="0">
                  <c:v>0,5</c:v>
                </c:pt>
              </c:strCache>
            </c:strRef>
          </c:tx>
          <c:spPr>
            <a:solidFill>
              <a:schemeClr val="accent1">
                <a:tint val="94000"/>
              </a:schemeClr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2.1'!$B$100:$V$100</c:f>
              <c:numCache>
                <c:formatCode>General</c:formatCode>
                <c:ptCount val="21"/>
                <c:pt idx="0">
                  <c:v>25.25</c:v>
                </c:pt>
                <c:pt idx="1">
                  <c:v>20.5</c:v>
                </c:pt>
                <c:pt idx="2">
                  <c:v>16.25</c:v>
                </c:pt>
                <c:pt idx="3">
                  <c:v>12.5</c:v>
                </c:pt>
                <c:pt idx="4">
                  <c:v>9.25</c:v>
                </c:pt>
                <c:pt idx="5">
                  <c:v>6.5</c:v>
                </c:pt>
                <c:pt idx="6">
                  <c:v>4.25</c:v>
                </c:pt>
                <c:pt idx="7">
                  <c:v>2.5</c:v>
                </c:pt>
                <c:pt idx="8">
                  <c:v>1.25</c:v>
                </c:pt>
                <c:pt idx="9">
                  <c:v>0.5</c:v>
                </c:pt>
                <c:pt idx="10">
                  <c:v>0.25</c:v>
                </c:pt>
                <c:pt idx="11">
                  <c:v>0.5</c:v>
                </c:pt>
                <c:pt idx="12">
                  <c:v>1.25</c:v>
                </c:pt>
                <c:pt idx="13">
                  <c:v>2.5</c:v>
                </c:pt>
                <c:pt idx="14">
                  <c:v>4.25</c:v>
                </c:pt>
                <c:pt idx="15">
                  <c:v>6.5</c:v>
                </c:pt>
                <c:pt idx="16">
                  <c:v>9.25</c:v>
                </c:pt>
                <c:pt idx="17">
                  <c:v>12.5</c:v>
                </c:pt>
                <c:pt idx="18">
                  <c:v>16.25</c:v>
                </c:pt>
                <c:pt idx="19">
                  <c:v>20.5</c:v>
                </c:pt>
                <c:pt idx="20">
                  <c:v>25.25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C0-4FB8-8D35-58D08DBFC691}"/>
            </c:ext>
          </c:extLst>
        </c:ser>
        <c:ser>
          <c:idx val="12"/>
          <c:order val="12"/>
          <c:tx>
            <c:strRef>
              <c:f>'Задание 2.1'!$A$101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tint val="88000"/>
              </a:schemeClr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2.1'!$B$101:$V$101</c:f>
              <c:numCache>
                <c:formatCode>General</c:formatCode>
                <c:ptCount val="21"/>
                <c:pt idx="0">
                  <c:v>26</c:v>
                </c:pt>
                <c:pt idx="1">
                  <c:v>21.25</c:v>
                </c:pt>
                <c:pt idx="2">
                  <c:v>17</c:v>
                </c:pt>
                <c:pt idx="3">
                  <c:v>13.25</c:v>
                </c:pt>
                <c:pt idx="4">
                  <c:v>10</c:v>
                </c:pt>
                <c:pt idx="5">
                  <c:v>7.25</c:v>
                </c:pt>
                <c:pt idx="6">
                  <c:v>5</c:v>
                </c:pt>
                <c:pt idx="7">
                  <c:v>3.25</c:v>
                </c:pt>
                <c:pt idx="8">
                  <c:v>2</c:v>
                </c:pt>
                <c:pt idx="9">
                  <c:v>1.25</c:v>
                </c:pt>
                <c:pt idx="10">
                  <c:v>1</c:v>
                </c:pt>
                <c:pt idx="11">
                  <c:v>1.25</c:v>
                </c:pt>
                <c:pt idx="12">
                  <c:v>2</c:v>
                </c:pt>
                <c:pt idx="13">
                  <c:v>3.25</c:v>
                </c:pt>
                <c:pt idx="14">
                  <c:v>5</c:v>
                </c:pt>
                <c:pt idx="15">
                  <c:v>7.25</c:v>
                </c:pt>
                <c:pt idx="16">
                  <c:v>10</c:v>
                </c:pt>
                <c:pt idx="17">
                  <c:v>13.25</c:v>
                </c:pt>
                <c:pt idx="18">
                  <c:v>17</c:v>
                </c:pt>
                <c:pt idx="19">
                  <c:v>21.25</c:v>
                </c:pt>
                <c:pt idx="2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C0-4FB8-8D35-58D08DBFC691}"/>
            </c:ext>
          </c:extLst>
        </c:ser>
        <c:ser>
          <c:idx val="13"/>
          <c:order val="13"/>
          <c:tx>
            <c:strRef>
              <c:f>'Задание 2.1'!$A$102</c:f>
              <c:strCache>
                <c:ptCount val="1"/>
                <c:pt idx="0">
                  <c:v>1,5</c:v>
                </c:pt>
              </c:strCache>
            </c:strRef>
          </c:tx>
          <c:spPr>
            <a:solidFill>
              <a:schemeClr val="accent1">
                <a:tint val="81000"/>
              </a:schemeClr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2.1'!$B$102:$V$102</c:f>
              <c:numCache>
                <c:formatCode>General</c:formatCode>
                <c:ptCount val="21"/>
                <c:pt idx="0">
                  <c:v>27.25</c:v>
                </c:pt>
                <c:pt idx="1">
                  <c:v>22.5</c:v>
                </c:pt>
                <c:pt idx="2">
                  <c:v>18.25</c:v>
                </c:pt>
                <c:pt idx="3">
                  <c:v>14.5</c:v>
                </c:pt>
                <c:pt idx="4">
                  <c:v>11.25</c:v>
                </c:pt>
                <c:pt idx="5">
                  <c:v>8.5</c:v>
                </c:pt>
                <c:pt idx="6">
                  <c:v>6.25</c:v>
                </c:pt>
                <c:pt idx="7">
                  <c:v>4.5</c:v>
                </c:pt>
                <c:pt idx="8">
                  <c:v>3.25</c:v>
                </c:pt>
                <c:pt idx="9">
                  <c:v>2.5</c:v>
                </c:pt>
                <c:pt idx="10">
                  <c:v>2.25</c:v>
                </c:pt>
                <c:pt idx="11">
                  <c:v>2.5</c:v>
                </c:pt>
                <c:pt idx="12">
                  <c:v>3.25</c:v>
                </c:pt>
                <c:pt idx="13">
                  <c:v>4.5</c:v>
                </c:pt>
                <c:pt idx="14">
                  <c:v>6.25</c:v>
                </c:pt>
                <c:pt idx="15">
                  <c:v>8.5</c:v>
                </c:pt>
                <c:pt idx="16">
                  <c:v>11.25</c:v>
                </c:pt>
                <c:pt idx="17">
                  <c:v>14.5</c:v>
                </c:pt>
                <c:pt idx="18">
                  <c:v>18.25</c:v>
                </c:pt>
                <c:pt idx="19">
                  <c:v>22.5</c:v>
                </c:pt>
                <c:pt idx="20">
                  <c:v>27.25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C0-4FB8-8D35-58D08DBFC691}"/>
            </c:ext>
          </c:extLst>
        </c:ser>
        <c:ser>
          <c:idx val="14"/>
          <c:order val="14"/>
          <c:tx>
            <c:strRef>
              <c:f>'Задание 2.1'!$A$103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tint val="75000"/>
              </a:schemeClr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2.1'!$B$103:$V$103</c:f>
              <c:numCache>
                <c:formatCode>General</c:formatCode>
                <c:ptCount val="21"/>
                <c:pt idx="0">
                  <c:v>29</c:v>
                </c:pt>
                <c:pt idx="1">
                  <c:v>24.25</c:v>
                </c:pt>
                <c:pt idx="2">
                  <c:v>20</c:v>
                </c:pt>
                <c:pt idx="3">
                  <c:v>16.25</c:v>
                </c:pt>
                <c:pt idx="4">
                  <c:v>13</c:v>
                </c:pt>
                <c:pt idx="5">
                  <c:v>10.25</c:v>
                </c:pt>
                <c:pt idx="6">
                  <c:v>8</c:v>
                </c:pt>
                <c:pt idx="7">
                  <c:v>6.25</c:v>
                </c:pt>
                <c:pt idx="8">
                  <c:v>5</c:v>
                </c:pt>
                <c:pt idx="9">
                  <c:v>4.25</c:v>
                </c:pt>
                <c:pt idx="10">
                  <c:v>4</c:v>
                </c:pt>
                <c:pt idx="11">
                  <c:v>4.25</c:v>
                </c:pt>
                <c:pt idx="12">
                  <c:v>5</c:v>
                </c:pt>
                <c:pt idx="13">
                  <c:v>6.25</c:v>
                </c:pt>
                <c:pt idx="14">
                  <c:v>8</c:v>
                </c:pt>
                <c:pt idx="15">
                  <c:v>10.25</c:v>
                </c:pt>
                <c:pt idx="16">
                  <c:v>13</c:v>
                </c:pt>
                <c:pt idx="17">
                  <c:v>16.25</c:v>
                </c:pt>
                <c:pt idx="18">
                  <c:v>20</c:v>
                </c:pt>
                <c:pt idx="19">
                  <c:v>24.25</c:v>
                </c:pt>
                <c:pt idx="2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0C0-4FB8-8D35-58D08DBFC691}"/>
            </c:ext>
          </c:extLst>
        </c:ser>
        <c:ser>
          <c:idx val="15"/>
          <c:order val="15"/>
          <c:tx>
            <c:strRef>
              <c:f>'Задание 2.1'!$A$104</c:f>
              <c:strCache>
                <c:ptCount val="1"/>
                <c:pt idx="0">
                  <c:v>2,5</c:v>
                </c:pt>
              </c:strCache>
            </c:strRef>
          </c:tx>
          <c:spPr>
            <a:solidFill>
              <a:schemeClr val="accent1">
                <a:tint val="69000"/>
              </a:schemeClr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2.1'!$B$104:$V$104</c:f>
              <c:numCache>
                <c:formatCode>General</c:formatCode>
                <c:ptCount val="21"/>
                <c:pt idx="0">
                  <c:v>31.25</c:v>
                </c:pt>
                <c:pt idx="1">
                  <c:v>26.5</c:v>
                </c:pt>
                <c:pt idx="2">
                  <c:v>22.25</c:v>
                </c:pt>
                <c:pt idx="3">
                  <c:v>18.5</c:v>
                </c:pt>
                <c:pt idx="4">
                  <c:v>15.25</c:v>
                </c:pt>
                <c:pt idx="5">
                  <c:v>12.5</c:v>
                </c:pt>
                <c:pt idx="6">
                  <c:v>10.25</c:v>
                </c:pt>
                <c:pt idx="7">
                  <c:v>8.5</c:v>
                </c:pt>
                <c:pt idx="8">
                  <c:v>7.25</c:v>
                </c:pt>
                <c:pt idx="9">
                  <c:v>6.5</c:v>
                </c:pt>
                <c:pt idx="10">
                  <c:v>6.25</c:v>
                </c:pt>
                <c:pt idx="11">
                  <c:v>6.5</c:v>
                </c:pt>
                <c:pt idx="12">
                  <c:v>7.25</c:v>
                </c:pt>
                <c:pt idx="13">
                  <c:v>8.5</c:v>
                </c:pt>
                <c:pt idx="14">
                  <c:v>10.25</c:v>
                </c:pt>
                <c:pt idx="15">
                  <c:v>12.5</c:v>
                </c:pt>
                <c:pt idx="16">
                  <c:v>15.25</c:v>
                </c:pt>
                <c:pt idx="17">
                  <c:v>18.5</c:v>
                </c:pt>
                <c:pt idx="18">
                  <c:v>22.25</c:v>
                </c:pt>
                <c:pt idx="19">
                  <c:v>26.5</c:v>
                </c:pt>
                <c:pt idx="20">
                  <c:v>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0C0-4FB8-8D35-58D08DBFC691}"/>
            </c:ext>
          </c:extLst>
        </c:ser>
        <c:ser>
          <c:idx val="16"/>
          <c:order val="16"/>
          <c:tx>
            <c:strRef>
              <c:f>'Задание 2.1'!$A$105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>
                <a:tint val="62000"/>
              </a:schemeClr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2.1'!$B$105:$V$105</c:f>
              <c:numCache>
                <c:formatCode>General</c:formatCode>
                <c:ptCount val="21"/>
                <c:pt idx="0">
                  <c:v>34</c:v>
                </c:pt>
                <c:pt idx="1">
                  <c:v>29.25</c:v>
                </c:pt>
                <c:pt idx="2">
                  <c:v>25</c:v>
                </c:pt>
                <c:pt idx="3">
                  <c:v>21.25</c:v>
                </c:pt>
                <c:pt idx="4">
                  <c:v>18</c:v>
                </c:pt>
                <c:pt idx="5">
                  <c:v>15.25</c:v>
                </c:pt>
                <c:pt idx="6">
                  <c:v>13</c:v>
                </c:pt>
                <c:pt idx="7">
                  <c:v>11.25</c:v>
                </c:pt>
                <c:pt idx="8">
                  <c:v>10</c:v>
                </c:pt>
                <c:pt idx="9">
                  <c:v>9.25</c:v>
                </c:pt>
                <c:pt idx="10">
                  <c:v>9</c:v>
                </c:pt>
                <c:pt idx="11">
                  <c:v>9.25</c:v>
                </c:pt>
                <c:pt idx="12">
                  <c:v>10</c:v>
                </c:pt>
                <c:pt idx="13">
                  <c:v>11.25</c:v>
                </c:pt>
                <c:pt idx="14">
                  <c:v>13</c:v>
                </c:pt>
                <c:pt idx="15">
                  <c:v>15.25</c:v>
                </c:pt>
                <c:pt idx="16">
                  <c:v>18</c:v>
                </c:pt>
                <c:pt idx="17">
                  <c:v>21.25</c:v>
                </c:pt>
                <c:pt idx="18">
                  <c:v>25</c:v>
                </c:pt>
                <c:pt idx="19">
                  <c:v>29.25</c:v>
                </c:pt>
                <c:pt idx="2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0C0-4FB8-8D35-58D08DBFC691}"/>
            </c:ext>
          </c:extLst>
        </c:ser>
        <c:ser>
          <c:idx val="17"/>
          <c:order val="17"/>
          <c:tx>
            <c:strRef>
              <c:f>'Задание 2.1'!$A$106</c:f>
              <c:strCache>
                <c:ptCount val="1"/>
                <c:pt idx="0">
                  <c:v>3,5</c:v>
                </c:pt>
              </c:strCache>
            </c:strRef>
          </c:tx>
          <c:spPr>
            <a:solidFill>
              <a:schemeClr val="accent1">
                <a:tint val="56000"/>
              </a:schemeClr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2.1'!$B$106:$V$106</c:f>
              <c:numCache>
                <c:formatCode>General</c:formatCode>
                <c:ptCount val="21"/>
                <c:pt idx="0">
                  <c:v>37.25</c:v>
                </c:pt>
                <c:pt idx="1">
                  <c:v>32.5</c:v>
                </c:pt>
                <c:pt idx="2">
                  <c:v>28.25</c:v>
                </c:pt>
                <c:pt idx="3">
                  <c:v>24.5</c:v>
                </c:pt>
                <c:pt idx="4">
                  <c:v>21.25</c:v>
                </c:pt>
                <c:pt idx="5">
                  <c:v>18.5</c:v>
                </c:pt>
                <c:pt idx="6">
                  <c:v>16.25</c:v>
                </c:pt>
                <c:pt idx="7">
                  <c:v>14.5</c:v>
                </c:pt>
                <c:pt idx="8">
                  <c:v>13.25</c:v>
                </c:pt>
                <c:pt idx="9">
                  <c:v>12.5</c:v>
                </c:pt>
                <c:pt idx="10">
                  <c:v>12.25</c:v>
                </c:pt>
                <c:pt idx="11">
                  <c:v>12.5</c:v>
                </c:pt>
                <c:pt idx="12">
                  <c:v>13.25</c:v>
                </c:pt>
                <c:pt idx="13">
                  <c:v>14.5</c:v>
                </c:pt>
                <c:pt idx="14">
                  <c:v>16.25</c:v>
                </c:pt>
                <c:pt idx="15">
                  <c:v>18.5</c:v>
                </c:pt>
                <c:pt idx="16">
                  <c:v>21.25</c:v>
                </c:pt>
                <c:pt idx="17">
                  <c:v>24.5</c:v>
                </c:pt>
                <c:pt idx="18">
                  <c:v>28.25</c:v>
                </c:pt>
                <c:pt idx="19">
                  <c:v>32.5</c:v>
                </c:pt>
                <c:pt idx="20">
                  <c:v>37.25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0C0-4FB8-8D35-58D08DBFC691}"/>
            </c:ext>
          </c:extLst>
        </c:ser>
        <c:ser>
          <c:idx val="18"/>
          <c:order val="18"/>
          <c:tx>
            <c:strRef>
              <c:f>'Задание 2.1'!$A$107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>
                <a:tint val="50000"/>
              </a:schemeClr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2.1'!$B$107:$V$107</c:f>
              <c:numCache>
                <c:formatCode>General</c:formatCode>
                <c:ptCount val="21"/>
                <c:pt idx="0">
                  <c:v>41</c:v>
                </c:pt>
                <c:pt idx="1">
                  <c:v>36.25</c:v>
                </c:pt>
                <c:pt idx="2">
                  <c:v>32</c:v>
                </c:pt>
                <c:pt idx="3">
                  <c:v>28.25</c:v>
                </c:pt>
                <c:pt idx="4">
                  <c:v>25</c:v>
                </c:pt>
                <c:pt idx="5">
                  <c:v>22.25</c:v>
                </c:pt>
                <c:pt idx="6">
                  <c:v>20</c:v>
                </c:pt>
                <c:pt idx="7">
                  <c:v>18.25</c:v>
                </c:pt>
                <c:pt idx="8">
                  <c:v>17</c:v>
                </c:pt>
                <c:pt idx="9">
                  <c:v>16.25</c:v>
                </c:pt>
                <c:pt idx="10">
                  <c:v>16</c:v>
                </c:pt>
                <c:pt idx="11">
                  <c:v>16.25</c:v>
                </c:pt>
                <c:pt idx="12">
                  <c:v>17</c:v>
                </c:pt>
                <c:pt idx="13">
                  <c:v>18.25</c:v>
                </c:pt>
                <c:pt idx="14">
                  <c:v>20</c:v>
                </c:pt>
                <c:pt idx="15">
                  <c:v>22.25</c:v>
                </c:pt>
                <c:pt idx="16">
                  <c:v>25</c:v>
                </c:pt>
                <c:pt idx="17">
                  <c:v>28.25</c:v>
                </c:pt>
                <c:pt idx="18">
                  <c:v>32</c:v>
                </c:pt>
                <c:pt idx="19">
                  <c:v>36.25</c:v>
                </c:pt>
                <c:pt idx="2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0C0-4FB8-8D35-58D08DBFC691}"/>
            </c:ext>
          </c:extLst>
        </c:ser>
        <c:ser>
          <c:idx val="19"/>
          <c:order val="19"/>
          <c:tx>
            <c:strRef>
              <c:f>'Задание 2.1'!$A$108</c:f>
              <c:strCache>
                <c:ptCount val="1"/>
                <c:pt idx="0">
                  <c:v>4,5</c:v>
                </c:pt>
              </c:strCache>
            </c:strRef>
          </c:tx>
          <c:spPr>
            <a:solidFill>
              <a:schemeClr val="accent1">
                <a:tint val="43000"/>
              </a:schemeClr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2.1'!$B$108:$V$108</c:f>
              <c:numCache>
                <c:formatCode>General</c:formatCode>
                <c:ptCount val="21"/>
                <c:pt idx="0">
                  <c:v>45.25</c:v>
                </c:pt>
                <c:pt idx="1">
                  <c:v>40.5</c:v>
                </c:pt>
                <c:pt idx="2">
                  <c:v>36.25</c:v>
                </c:pt>
                <c:pt idx="3">
                  <c:v>32.5</c:v>
                </c:pt>
                <c:pt idx="4">
                  <c:v>29.25</c:v>
                </c:pt>
                <c:pt idx="5">
                  <c:v>26.5</c:v>
                </c:pt>
                <c:pt idx="6">
                  <c:v>24.25</c:v>
                </c:pt>
                <c:pt idx="7">
                  <c:v>22.5</c:v>
                </c:pt>
                <c:pt idx="8">
                  <c:v>21.25</c:v>
                </c:pt>
                <c:pt idx="9">
                  <c:v>20.5</c:v>
                </c:pt>
                <c:pt idx="10">
                  <c:v>20.25</c:v>
                </c:pt>
                <c:pt idx="11">
                  <c:v>20.5</c:v>
                </c:pt>
                <c:pt idx="12">
                  <c:v>21.25</c:v>
                </c:pt>
                <c:pt idx="13">
                  <c:v>22.5</c:v>
                </c:pt>
                <c:pt idx="14">
                  <c:v>24.25</c:v>
                </c:pt>
                <c:pt idx="15">
                  <c:v>26.5</c:v>
                </c:pt>
                <c:pt idx="16">
                  <c:v>29.25</c:v>
                </c:pt>
                <c:pt idx="17">
                  <c:v>32.5</c:v>
                </c:pt>
                <c:pt idx="18">
                  <c:v>36.25</c:v>
                </c:pt>
                <c:pt idx="19">
                  <c:v>40.5</c:v>
                </c:pt>
                <c:pt idx="20">
                  <c:v>45.25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0C0-4FB8-8D35-58D08DBFC691}"/>
            </c:ext>
          </c:extLst>
        </c:ser>
        <c:ser>
          <c:idx val="20"/>
          <c:order val="20"/>
          <c:tx>
            <c:strRef>
              <c:f>'Задание 2.1'!$A$109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>
                <a:tint val="37000"/>
              </a:schemeClr>
            </a:solidFill>
            <a:ln/>
            <a:effectLst/>
            <a:sp3d/>
          </c:spPr>
          <c:cat>
            <c:numRef>
              <c:f>'Задание 2.1'!$B$88:$V$88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2.1'!$B$109:$V$109</c:f>
              <c:numCache>
                <c:formatCode>General</c:formatCode>
                <c:ptCount val="21"/>
                <c:pt idx="0">
                  <c:v>50</c:v>
                </c:pt>
                <c:pt idx="1">
                  <c:v>45.25</c:v>
                </c:pt>
                <c:pt idx="2">
                  <c:v>41</c:v>
                </c:pt>
                <c:pt idx="3">
                  <c:v>37.25</c:v>
                </c:pt>
                <c:pt idx="4">
                  <c:v>34</c:v>
                </c:pt>
                <c:pt idx="5">
                  <c:v>31.25</c:v>
                </c:pt>
                <c:pt idx="6">
                  <c:v>29</c:v>
                </c:pt>
                <c:pt idx="7">
                  <c:v>27.25</c:v>
                </c:pt>
                <c:pt idx="8">
                  <c:v>26</c:v>
                </c:pt>
                <c:pt idx="9">
                  <c:v>25.25</c:v>
                </c:pt>
                <c:pt idx="10">
                  <c:v>25</c:v>
                </c:pt>
                <c:pt idx="11">
                  <c:v>25.25</c:v>
                </c:pt>
                <c:pt idx="12">
                  <c:v>26</c:v>
                </c:pt>
                <c:pt idx="13">
                  <c:v>27.25</c:v>
                </c:pt>
                <c:pt idx="14">
                  <c:v>29</c:v>
                </c:pt>
                <c:pt idx="15">
                  <c:v>31.25</c:v>
                </c:pt>
                <c:pt idx="16">
                  <c:v>34</c:v>
                </c:pt>
                <c:pt idx="17">
                  <c:v>37.25</c:v>
                </c:pt>
                <c:pt idx="18">
                  <c:v>41</c:v>
                </c:pt>
                <c:pt idx="19">
                  <c:v>45.25</c:v>
                </c:pt>
                <c:pt idx="2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0C0-4FB8-8D35-58D08DBFC691}"/>
            </c:ext>
          </c:extLst>
        </c:ser>
        <c:bandFmts>
          <c:bandFmt>
            <c:idx val="0"/>
            <c:spPr>
              <a:solidFill>
                <a:schemeClr val="accent1">
                  <a:shade val="50000"/>
                </a:schemeClr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1">
                  <a:shade val="70000"/>
                </a:schemeClr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1">
                  <a:shade val="90000"/>
                </a:schemeClr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1">
                  <a:tint val="90000"/>
                </a:schemeClr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1">
                  <a:tint val="70000"/>
                </a:schemeClr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1">
                  <a:tint val="50000"/>
                </a:schemeClr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tint val="3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1">
                  <a:tint val="1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1">
                  <a:tint val="9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1">
                  <a:tint val="7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1">
                  <a:tint val="5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1">
                  <a:tint val="3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tint val="1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1">
                  <a:tint val="9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1">
                  <a:tint val="70000"/>
                </a:schemeClr>
              </a:solidFill>
              <a:ln/>
              <a:effectLst/>
              <a:sp3d/>
            </c:spPr>
          </c:bandFmt>
        </c:bandFmts>
        <c:axId val="1644709599"/>
        <c:axId val="1644719679"/>
        <c:axId val="1605704927"/>
      </c:surface3DChart>
      <c:catAx>
        <c:axId val="1644709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644719679"/>
        <c:crosses val="autoZero"/>
        <c:auto val="1"/>
        <c:lblAlgn val="ctr"/>
        <c:lblOffset val="100"/>
        <c:noMultiLvlLbl val="0"/>
      </c:catAx>
      <c:valAx>
        <c:axId val="164471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644709599"/>
        <c:crosses val="autoZero"/>
        <c:crossBetween val="midCat"/>
      </c:valAx>
      <c:serAx>
        <c:axId val="160570492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644719679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Эллиптический параболоид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2.2'!$A$2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1">
                <a:shade val="36000"/>
              </a:schemeClr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2.2'!$B$2:$V$2</c:f>
              <c:numCache>
                <c:formatCode>General</c:formatCode>
                <c:ptCount val="21"/>
                <c:pt idx="0">
                  <c:v>102.77777777777777</c:v>
                </c:pt>
                <c:pt idx="1">
                  <c:v>102.25</c:v>
                </c:pt>
                <c:pt idx="2">
                  <c:v>101.77777777777777</c:v>
                </c:pt>
                <c:pt idx="3">
                  <c:v>101.36111111111111</c:v>
                </c:pt>
                <c:pt idx="4">
                  <c:v>101</c:v>
                </c:pt>
                <c:pt idx="5">
                  <c:v>100.69444444444444</c:v>
                </c:pt>
                <c:pt idx="6">
                  <c:v>100.44444444444444</c:v>
                </c:pt>
                <c:pt idx="7">
                  <c:v>100.25</c:v>
                </c:pt>
                <c:pt idx="8">
                  <c:v>100.11111111111111</c:v>
                </c:pt>
                <c:pt idx="9">
                  <c:v>100.02777777777777</c:v>
                </c:pt>
                <c:pt idx="10">
                  <c:v>100</c:v>
                </c:pt>
                <c:pt idx="11">
                  <c:v>100.02777777777777</c:v>
                </c:pt>
                <c:pt idx="12">
                  <c:v>100.11111111111111</c:v>
                </c:pt>
                <c:pt idx="13">
                  <c:v>100.25</c:v>
                </c:pt>
                <c:pt idx="14">
                  <c:v>100.44444444444444</c:v>
                </c:pt>
                <c:pt idx="15">
                  <c:v>100.69444444444444</c:v>
                </c:pt>
                <c:pt idx="16">
                  <c:v>101</c:v>
                </c:pt>
                <c:pt idx="17">
                  <c:v>101.36111111111111</c:v>
                </c:pt>
                <c:pt idx="18">
                  <c:v>101.77777777777777</c:v>
                </c:pt>
                <c:pt idx="19">
                  <c:v>102.25</c:v>
                </c:pt>
                <c:pt idx="20">
                  <c:v>102.77777777777777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D-4CF0-A498-545C19978A52}"/>
            </c:ext>
          </c:extLst>
        </c:ser>
        <c:ser>
          <c:idx val="1"/>
          <c:order val="1"/>
          <c:tx>
            <c:strRef>
              <c:f>'Задание 2.2'!$A$3</c:f>
              <c:strCache>
                <c:ptCount val="1"/>
                <c:pt idx="0">
                  <c:v>-4,5</c:v>
                </c:pt>
              </c:strCache>
            </c:strRef>
          </c:tx>
          <c:spPr>
            <a:solidFill>
              <a:schemeClr val="accent1">
                <a:shade val="42000"/>
              </a:schemeClr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2.2'!$B$3:$V$3</c:f>
              <c:numCache>
                <c:formatCode>General</c:formatCode>
                <c:ptCount val="21"/>
                <c:pt idx="0">
                  <c:v>83.777777777777771</c:v>
                </c:pt>
                <c:pt idx="1">
                  <c:v>83.25</c:v>
                </c:pt>
                <c:pt idx="2">
                  <c:v>82.777777777777771</c:v>
                </c:pt>
                <c:pt idx="3">
                  <c:v>82.361111111111114</c:v>
                </c:pt>
                <c:pt idx="4">
                  <c:v>82</c:v>
                </c:pt>
                <c:pt idx="5">
                  <c:v>81.694444444444443</c:v>
                </c:pt>
                <c:pt idx="6">
                  <c:v>81.444444444444443</c:v>
                </c:pt>
                <c:pt idx="7">
                  <c:v>81.25</c:v>
                </c:pt>
                <c:pt idx="8">
                  <c:v>81.111111111111114</c:v>
                </c:pt>
                <c:pt idx="9">
                  <c:v>81.027777777777771</c:v>
                </c:pt>
                <c:pt idx="10">
                  <c:v>81</c:v>
                </c:pt>
                <c:pt idx="11">
                  <c:v>81.027777777777771</c:v>
                </c:pt>
                <c:pt idx="12">
                  <c:v>81.111111111111114</c:v>
                </c:pt>
                <c:pt idx="13">
                  <c:v>81.25</c:v>
                </c:pt>
                <c:pt idx="14">
                  <c:v>81.444444444444443</c:v>
                </c:pt>
                <c:pt idx="15">
                  <c:v>81.694444444444443</c:v>
                </c:pt>
                <c:pt idx="16">
                  <c:v>82</c:v>
                </c:pt>
                <c:pt idx="17">
                  <c:v>82.361111111111114</c:v>
                </c:pt>
                <c:pt idx="18">
                  <c:v>82.777777777777771</c:v>
                </c:pt>
                <c:pt idx="19">
                  <c:v>83.25</c:v>
                </c:pt>
                <c:pt idx="20">
                  <c:v>83.777777777777771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9D-4CF0-A498-545C19978A52}"/>
            </c:ext>
          </c:extLst>
        </c:ser>
        <c:ser>
          <c:idx val="2"/>
          <c:order val="2"/>
          <c:tx>
            <c:strRef>
              <c:f>'Задание 2.2'!$A$4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1">
                <a:shade val="49000"/>
              </a:schemeClr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2.2'!$B$4:$V$4</c:f>
              <c:numCache>
                <c:formatCode>General</c:formatCode>
                <c:ptCount val="21"/>
                <c:pt idx="0">
                  <c:v>66.777777777777771</c:v>
                </c:pt>
                <c:pt idx="1">
                  <c:v>66.25</c:v>
                </c:pt>
                <c:pt idx="2">
                  <c:v>65.777777777777771</c:v>
                </c:pt>
                <c:pt idx="3">
                  <c:v>65.361111111111114</c:v>
                </c:pt>
                <c:pt idx="4">
                  <c:v>65</c:v>
                </c:pt>
                <c:pt idx="5">
                  <c:v>64.694444444444443</c:v>
                </c:pt>
                <c:pt idx="6">
                  <c:v>64.444444444444443</c:v>
                </c:pt>
                <c:pt idx="7">
                  <c:v>64.25</c:v>
                </c:pt>
                <c:pt idx="8">
                  <c:v>64.111111111111114</c:v>
                </c:pt>
                <c:pt idx="9">
                  <c:v>64.027777777777771</c:v>
                </c:pt>
                <c:pt idx="10">
                  <c:v>64</c:v>
                </c:pt>
                <c:pt idx="11">
                  <c:v>64.027777777777771</c:v>
                </c:pt>
                <c:pt idx="12">
                  <c:v>64.111111111111114</c:v>
                </c:pt>
                <c:pt idx="13">
                  <c:v>64.25</c:v>
                </c:pt>
                <c:pt idx="14">
                  <c:v>64.444444444444443</c:v>
                </c:pt>
                <c:pt idx="15">
                  <c:v>64.694444444444443</c:v>
                </c:pt>
                <c:pt idx="16">
                  <c:v>65</c:v>
                </c:pt>
                <c:pt idx="17">
                  <c:v>65.361111111111114</c:v>
                </c:pt>
                <c:pt idx="18">
                  <c:v>65.777777777777771</c:v>
                </c:pt>
                <c:pt idx="19">
                  <c:v>66.25</c:v>
                </c:pt>
                <c:pt idx="20">
                  <c:v>66.777777777777771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9D-4CF0-A498-545C19978A52}"/>
            </c:ext>
          </c:extLst>
        </c:ser>
        <c:ser>
          <c:idx val="3"/>
          <c:order val="3"/>
          <c:tx>
            <c:strRef>
              <c:f>'Задание 2.2'!$A$5</c:f>
              <c:strCache>
                <c:ptCount val="1"/>
                <c:pt idx="0">
                  <c:v>-3,5</c:v>
                </c:pt>
              </c:strCache>
            </c:strRef>
          </c:tx>
          <c:spPr>
            <a:solidFill>
              <a:schemeClr val="accent1">
                <a:shade val="55000"/>
              </a:schemeClr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2.2'!$B$5:$V$5</c:f>
              <c:numCache>
                <c:formatCode>General</c:formatCode>
                <c:ptCount val="21"/>
                <c:pt idx="0">
                  <c:v>51.777777777777779</c:v>
                </c:pt>
                <c:pt idx="1">
                  <c:v>51.25</c:v>
                </c:pt>
                <c:pt idx="2">
                  <c:v>50.777777777777779</c:v>
                </c:pt>
                <c:pt idx="3">
                  <c:v>50.361111111111114</c:v>
                </c:pt>
                <c:pt idx="4">
                  <c:v>50</c:v>
                </c:pt>
                <c:pt idx="5">
                  <c:v>49.694444444444443</c:v>
                </c:pt>
                <c:pt idx="6">
                  <c:v>49.444444444444443</c:v>
                </c:pt>
                <c:pt idx="7">
                  <c:v>49.25</c:v>
                </c:pt>
                <c:pt idx="8">
                  <c:v>49.111111111111114</c:v>
                </c:pt>
                <c:pt idx="9">
                  <c:v>49.027777777777779</c:v>
                </c:pt>
                <c:pt idx="10">
                  <c:v>49</c:v>
                </c:pt>
                <c:pt idx="11">
                  <c:v>49.027777777777779</c:v>
                </c:pt>
                <c:pt idx="12">
                  <c:v>49.111111111111114</c:v>
                </c:pt>
                <c:pt idx="13">
                  <c:v>49.25</c:v>
                </c:pt>
                <c:pt idx="14">
                  <c:v>49.444444444444443</c:v>
                </c:pt>
                <c:pt idx="15">
                  <c:v>49.694444444444443</c:v>
                </c:pt>
                <c:pt idx="16">
                  <c:v>50</c:v>
                </c:pt>
                <c:pt idx="17">
                  <c:v>50.361111111111114</c:v>
                </c:pt>
                <c:pt idx="18">
                  <c:v>50.777777777777779</c:v>
                </c:pt>
                <c:pt idx="19">
                  <c:v>51.25</c:v>
                </c:pt>
                <c:pt idx="20">
                  <c:v>51.777777777777779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9D-4CF0-A498-545C19978A52}"/>
            </c:ext>
          </c:extLst>
        </c:ser>
        <c:ser>
          <c:idx val="4"/>
          <c:order val="4"/>
          <c:tx>
            <c:strRef>
              <c:f>'Задание 2.2'!$A$6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1">
                <a:shade val="61000"/>
              </a:schemeClr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2.2'!$B$6:$V$6</c:f>
              <c:numCache>
                <c:formatCode>General</c:formatCode>
                <c:ptCount val="21"/>
                <c:pt idx="0">
                  <c:v>38.777777777777779</c:v>
                </c:pt>
                <c:pt idx="1">
                  <c:v>38.25</c:v>
                </c:pt>
                <c:pt idx="2">
                  <c:v>37.777777777777779</c:v>
                </c:pt>
                <c:pt idx="3">
                  <c:v>37.361111111111114</c:v>
                </c:pt>
                <c:pt idx="4">
                  <c:v>37</c:v>
                </c:pt>
                <c:pt idx="5">
                  <c:v>36.694444444444443</c:v>
                </c:pt>
                <c:pt idx="6">
                  <c:v>36.444444444444443</c:v>
                </c:pt>
                <c:pt idx="7">
                  <c:v>36.25</c:v>
                </c:pt>
                <c:pt idx="8">
                  <c:v>36.111111111111114</c:v>
                </c:pt>
                <c:pt idx="9">
                  <c:v>36.027777777777779</c:v>
                </c:pt>
                <c:pt idx="10">
                  <c:v>36</c:v>
                </c:pt>
                <c:pt idx="11">
                  <c:v>36.027777777777779</c:v>
                </c:pt>
                <c:pt idx="12">
                  <c:v>36.111111111111114</c:v>
                </c:pt>
                <c:pt idx="13">
                  <c:v>36.25</c:v>
                </c:pt>
                <c:pt idx="14">
                  <c:v>36.444444444444443</c:v>
                </c:pt>
                <c:pt idx="15">
                  <c:v>36.694444444444443</c:v>
                </c:pt>
                <c:pt idx="16">
                  <c:v>37</c:v>
                </c:pt>
                <c:pt idx="17">
                  <c:v>37.361111111111114</c:v>
                </c:pt>
                <c:pt idx="18">
                  <c:v>37.777777777777779</c:v>
                </c:pt>
                <c:pt idx="19">
                  <c:v>38.25</c:v>
                </c:pt>
                <c:pt idx="20">
                  <c:v>38.777777777777779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9D-4CF0-A498-545C19978A52}"/>
            </c:ext>
          </c:extLst>
        </c:ser>
        <c:ser>
          <c:idx val="5"/>
          <c:order val="5"/>
          <c:tx>
            <c:strRef>
              <c:f>'Задание 2.2'!$A$7</c:f>
              <c:strCache>
                <c:ptCount val="1"/>
                <c:pt idx="0">
                  <c:v>-2,5</c:v>
                </c:pt>
              </c:strCache>
            </c:strRef>
          </c:tx>
          <c:spPr>
            <a:solidFill>
              <a:schemeClr val="accent1">
                <a:shade val="68000"/>
              </a:schemeClr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2.2'!$B$7:$V$7</c:f>
              <c:numCache>
                <c:formatCode>General</c:formatCode>
                <c:ptCount val="21"/>
                <c:pt idx="0">
                  <c:v>27.777777777777779</c:v>
                </c:pt>
                <c:pt idx="1">
                  <c:v>27.25</c:v>
                </c:pt>
                <c:pt idx="2">
                  <c:v>26.777777777777779</c:v>
                </c:pt>
                <c:pt idx="3">
                  <c:v>26.361111111111111</c:v>
                </c:pt>
                <c:pt idx="4">
                  <c:v>26</c:v>
                </c:pt>
                <c:pt idx="5">
                  <c:v>25.694444444444443</c:v>
                </c:pt>
                <c:pt idx="6">
                  <c:v>25.444444444444443</c:v>
                </c:pt>
                <c:pt idx="7">
                  <c:v>25.25</c:v>
                </c:pt>
                <c:pt idx="8">
                  <c:v>25.111111111111111</c:v>
                </c:pt>
                <c:pt idx="9">
                  <c:v>25.027777777777779</c:v>
                </c:pt>
                <c:pt idx="10">
                  <c:v>25</c:v>
                </c:pt>
                <c:pt idx="11">
                  <c:v>25.027777777777779</c:v>
                </c:pt>
                <c:pt idx="12">
                  <c:v>25.111111111111111</c:v>
                </c:pt>
                <c:pt idx="13">
                  <c:v>25.25</c:v>
                </c:pt>
                <c:pt idx="14">
                  <c:v>25.444444444444443</c:v>
                </c:pt>
                <c:pt idx="15">
                  <c:v>25.694444444444443</c:v>
                </c:pt>
                <c:pt idx="16">
                  <c:v>26</c:v>
                </c:pt>
                <c:pt idx="17">
                  <c:v>26.361111111111111</c:v>
                </c:pt>
                <c:pt idx="18">
                  <c:v>26.777777777777779</c:v>
                </c:pt>
                <c:pt idx="19">
                  <c:v>27.25</c:v>
                </c:pt>
                <c:pt idx="20">
                  <c:v>27.777777777777779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9D-4CF0-A498-545C19978A52}"/>
            </c:ext>
          </c:extLst>
        </c:ser>
        <c:ser>
          <c:idx val="6"/>
          <c:order val="6"/>
          <c:tx>
            <c:strRef>
              <c:f>'Задание 2.2'!$A$8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1">
                <a:shade val="74000"/>
              </a:schemeClr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2.2'!$B$8:$V$8</c:f>
              <c:numCache>
                <c:formatCode>General</c:formatCode>
                <c:ptCount val="21"/>
                <c:pt idx="0">
                  <c:v>18.777777777777779</c:v>
                </c:pt>
                <c:pt idx="1">
                  <c:v>18.25</c:v>
                </c:pt>
                <c:pt idx="2">
                  <c:v>17.777777777777779</c:v>
                </c:pt>
                <c:pt idx="3">
                  <c:v>17.361111111111111</c:v>
                </c:pt>
                <c:pt idx="4">
                  <c:v>17</c:v>
                </c:pt>
                <c:pt idx="5">
                  <c:v>16.694444444444443</c:v>
                </c:pt>
                <c:pt idx="6">
                  <c:v>16.444444444444443</c:v>
                </c:pt>
                <c:pt idx="7">
                  <c:v>16.25</c:v>
                </c:pt>
                <c:pt idx="8">
                  <c:v>16.111111111111111</c:v>
                </c:pt>
                <c:pt idx="9">
                  <c:v>16.027777777777779</c:v>
                </c:pt>
                <c:pt idx="10">
                  <c:v>16</c:v>
                </c:pt>
                <c:pt idx="11">
                  <c:v>16.027777777777779</c:v>
                </c:pt>
                <c:pt idx="12">
                  <c:v>16.111111111111111</c:v>
                </c:pt>
                <c:pt idx="13">
                  <c:v>16.25</c:v>
                </c:pt>
                <c:pt idx="14">
                  <c:v>16.444444444444443</c:v>
                </c:pt>
                <c:pt idx="15">
                  <c:v>16.694444444444443</c:v>
                </c:pt>
                <c:pt idx="16">
                  <c:v>17</c:v>
                </c:pt>
                <c:pt idx="17">
                  <c:v>17.361111111111111</c:v>
                </c:pt>
                <c:pt idx="18">
                  <c:v>17.777777777777779</c:v>
                </c:pt>
                <c:pt idx="19">
                  <c:v>18.25</c:v>
                </c:pt>
                <c:pt idx="20">
                  <c:v>18.777777777777779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9D-4CF0-A498-545C19978A52}"/>
            </c:ext>
          </c:extLst>
        </c:ser>
        <c:ser>
          <c:idx val="7"/>
          <c:order val="7"/>
          <c:tx>
            <c:strRef>
              <c:f>'Задание 2.2'!$A$9</c:f>
              <c:strCache>
                <c:ptCount val="1"/>
                <c:pt idx="0">
                  <c:v>-1,5</c:v>
                </c:pt>
              </c:strCache>
            </c:strRef>
          </c:tx>
          <c:spPr>
            <a:solidFill>
              <a:schemeClr val="accent1">
                <a:shade val="80000"/>
              </a:schemeClr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2.2'!$B$9:$V$9</c:f>
              <c:numCache>
                <c:formatCode>General</c:formatCode>
                <c:ptCount val="21"/>
                <c:pt idx="0">
                  <c:v>11.777777777777779</c:v>
                </c:pt>
                <c:pt idx="1">
                  <c:v>11.25</c:v>
                </c:pt>
                <c:pt idx="2">
                  <c:v>10.777777777777779</c:v>
                </c:pt>
                <c:pt idx="3">
                  <c:v>10.361111111111111</c:v>
                </c:pt>
                <c:pt idx="4">
                  <c:v>10</c:v>
                </c:pt>
                <c:pt idx="5">
                  <c:v>9.6944444444444446</c:v>
                </c:pt>
                <c:pt idx="6">
                  <c:v>9.4444444444444446</c:v>
                </c:pt>
                <c:pt idx="7">
                  <c:v>9.25</c:v>
                </c:pt>
                <c:pt idx="8">
                  <c:v>9.1111111111111107</c:v>
                </c:pt>
                <c:pt idx="9">
                  <c:v>9.0277777777777786</c:v>
                </c:pt>
                <c:pt idx="10">
                  <c:v>9</c:v>
                </c:pt>
                <c:pt idx="11">
                  <c:v>9.0277777777777786</c:v>
                </c:pt>
                <c:pt idx="12">
                  <c:v>9.1111111111111107</c:v>
                </c:pt>
                <c:pt idx="13">
                  <c:v>9.25</c:v>
                </c:pt>
                <c:pt idx="14">
                  <c:v>9.4444444444444446</c:v>
                </c:pt>
                <c:pt idx="15">
                  <c:v>9.6944444444444446</c:v>
                </c:pt>
                <c:pt idx="16">
                  <c:v>10</c:v>
                </c:pt>
                <c:pt idx="17">
                  <c:v>10.361111111111111</c:v>
                </c:pt>
                <c:pt idx="18">
                  <c:v>10.777777777777779</c:v>
                </c:pt>
                <c:pt idx="19">
                  <c:v>11.25</c:v>
                </c:pt>
                <c:pt idx="20">
                  <c:v>11.777777777777779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C9D-4CF0-A498-545C19978A52}"/>
            </c:ext>
          </c:extLst>
        </c:ser>
        <c:ser>
          <c:idx val="8"/>
          <c:order val="8"/>
          <c:tx>
            <c:strRef>
              <c:f>'Задание 2.2'!$A$10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1">
                <a:shade val="87000"/>
              </a:schemeClr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2.2'!$B$10:$V$10</c:f>
              <c:numCache>
                <c:formatCode>General</c:formatCode>
                <c:ptCount val="21"/>
                <c:pt idx="0">
                  <c:v>6.7777777777777777</c:v>
                </c:pt>
                <c:pt idx="1">
                  <c:v>6.25</c:v>
                </c:pt>
                <c:pt idx="2">
                  <c:v>5.7777777777777777</c:v>
                </c:pt>
                <c:pt idx="3">
                  <c:v>5.3611111111111107</c:v>
                </c:pt>
                <c:pt idx="4">
                  <c:v>5</c:v>
                </c:pt>
                <c:pt idx="5">
                  <c:v>4.6944444444444446</c:v>
                </c:pt>
                <c:pt idx="6">
                  <c:v>4.4444444444444446</c:v>
                </c:pt>
                <c:pt idx="7">
                  <c:v>4.25</c:v>
                </c:pt>
                <c:pt idx="8">
                  <c:v>4.1111111111111107</c:v>
                </c:pt>
                <c:pt idx="9">
                  <c:v>4.0277777777777777</c:v>
                </c:pt>
                <c:pt idx="10">
                  <c:v>4</c:v>
                </c:pt>
                <c:pt idx="11">
                  <c:v>4.0277777777777777</c:v>
                </c:pt>
                <c:pt idx="12">
                  <c:v>4.1111111111111107</c:v>
                </c:pt>
                <c:pt idx="13">
                  <c:v>4.25</c:v>
                </c:pt>
                <c:pt idx="14">
                  <c:v>4.4444444444444446</c:v>
                </c:pt>
                <c:pt idx="15">
                  <c:v>4.6944444444444446</c:v>
                </c:pt>
                <c:pt idx="16">
                  <c:v>5</c:v>
                </c:pt>
                <c:pt idx="17">
                  <c:v>5.3611111111111107</c:v>
                </c:pt>
                <c:pt idx="18">
                  <c:v>5.7777777777777777</c:v>
                </c:pt>
                <c:pt idx="19">
                  <c:v>6.25</c:v>
                </c:pt>
                <c:pt idx="20">
                  <c:v>6.7777777777777777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9D-4CF0-A498-545C19978A52}"/>
            </c:ext>
          </c:extLst>
        </c:ser>
        <c:ser>
          <c:idx val="9"/>
          <c:order val="9"/>
          <c:tx>
            <c:strRef>
              <c:f>'Задание 2.2'!$A$11</c:f>
              <c:strCache>
                <c:ptCount val="1"/>
                <c:pt idx="0">
                  <c:v>-0,5</c:v>
                </c:pt>
              </c:strCache>
            </c:strRef>
          </c:tx>
          <c:spPr>
            <a:solidFill>
              <a:schemeClr val="accent1">
                <a:shade val="93000"/>
              </a:schemeClr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2.2'!$B$11:$V$11</c:f>
              <c:numCache>
                <c:formatCode>General</c:formatCode>
                <c:ptCount val="21"/>
                <c:pt idx="0">
                  <c:v>3.7777777777777777</c:v>
                </c:pt>
                <c:pt idx="1">
                  <c:v>3.25</c:v>
                </c:pt>
                <c:pt idx="2">
                  <c:v>2.7777777777777777</c:v>
                </c:pt>
                <c:pt idx="3">
                  <c:v>2.3611111111111112</c:v>
                </c:pt>
                <c:pt idx="4">
                  <c:v>2</c:v>
                </c:pt>
                <c:pt idx="5">
                  <c:v>1.6944444444444444</c:v>
                </c:pt>
                <c:pt idx="6">
                  <c:v>1.4444444444444444</c:v>
                </c:pt>
                <c:pt idx="7">
                  <c:v>1.25</c:v>
                </c:pt>
                <c:pt idx="8">
                  <c:v>1.1111111111111112</c:v>
                </c:pt>
                <c:pt idx="9">
                  <c:v>1.0277777777777777</c:v>
                </c:pt>
                <c:pt idx="10">
                  <c:v>1</c:v>
                </c:pt>
                <c:pt idx="11">
                  <c:v>1.0277777777777777</c:v>
                </c:pt>
                <c:pt idx="12">
                  <c:v>1.1111111111111112</c:v>
                </c:pt>
                <c:pt idx="13">
                  <c:v>1.25</c:v>
                </c:pt>
                <c:pt idx="14">
                  <c:v>1.4444444444444444</c:v>
                </c:pt>
                <c:pt idx="15">
                  <c:v>1.6944444444444444</c:v>
                </c:pt>
                <c:pt idx="16">
                  <c:v>2</c:v>
                </c:pt>
                <c:pt idx="17">
                  <c:v>2.3611111111111112</c:v>
                </c:pt>
                <c:pt idx="18">
                  <c:v>2.7777777777777777</c:v>
                </c:pt>
                <c:pt idx="19">
                  <c:v>3.25</c:v>
                </c:pt>
                <c:pt idx="20">
                  <c:v>3.7777777777777777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C9D-4CF0-A498-545C19978A52}"/>
            </c:ext>
          </c:extLst>
        </c:ser>
        <c:ser>
          <c:idx val="10"/>
          <c:order val="10"/>
          <c:tx>
            <c:strRef>
              <c:f>'Задание 2.2'!$A$12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2.2'!$B$12:$V$12</c:f>
              <c:numCache>
                <c:formatCode>General</c:formatCode>
                <c:ptCount val="21"/>
                <c:pt idx="0">
                  <c:v>2.7777777777777777</c:v>
                </c:pt>
                <c:pt idx="1">
                  <c:v>2.25</c:v>
                </c:pt>
                <c:pt idx="2">
                  <c:v>1.7777777777777777</c:v>
                </c:pt>
                <c:pt idx="3">
                  <c:v>1.3611111111111112</c:v>
                </c:pt>
                <c:pt idx="4">
                  <c:v>1</c:v>
                </c:pt>
                <c:pt idx="5">
                  <c:v>0.69444444444444442</c:v>
                </c:pt>
                <c:pt idx="6">
                  <c:v>0.44444444444444442</c:v>
                </c:pt>
                <c:pt idx="7">
                  <c:v>0.25</c:v>
                </c:pt>
                <c:pt idx="8">
                  <c:v>0.1111111111111111</c:v>
                </c:pt>
                <c:pt idx="9">
                  <c:v>2.7777777777777776E-2</c:v>
                </c:pt>
                <c:pt idx="10">
                  <c:v>0</c:v>
                </c:pt>
                <c:pt idx="11">
                  <c:v>2.7777777777777776E-2</c:v>
                </c:pt>
                <c:pt idx="12">
                  <c:v>0.1111111111111111</c:v>
                </c:pt>
                <c:pt idx="13">
                  <c:v>0.25</c:v>
                </c:pt>
                <c:pt idx="14">
                  <c:v>0.44444444444444442</c:v>
                </c:pt>
                <c:pt idx="15">
                  <c:v>0.69444444444444442</c:v>
                </c:pt>
                <c:pt idx="16">
                  <c:v>1</c:v>
                </c:pt>
                <c:pt idx="17">
                  <c:v>1.3611111111111112</c:v>
                </c:pt>
                <c:pt idx="18">
                  <c:v>1.7777777777777777</c:v>
                </c:pt>
                <c:pt idx="19">
                  <c:v>2.25</c:v>
                </c:pt>
                <c:pt idx="20">
                  <c:v>2.7777777777777777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C9D-4CF0-A498-545C19978A52}"/>
            </c:ext>
          </c:extLst>
        </c:ser>
        <c:ser>
          <c:idx val="11"/>
          <c:order val="11"/>
          <c:tx>
            <c:strRef>
              <c:f>'Задание 2.2'!$A$13</c:f>
              <c:strCache>
                <c:ptCount val="1"/>
                <c:pt idx="0">
                  <c:v>0,5</c:v>
                </c:pt>
              </c:strCache>
            </c:strRef>
          </c:tx>
          <c:spPr>
            <a:solidFill>
              <a:schemeClr val="accent1">
                <a:tint val="94000"/>
              </a:schemeClr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2.2'!$B$13:$V$13</c:f>
              <c:numCache>
                <c:formatCode>General</c:formatCode>
                <c:ptCount val="21"/>
                <c:pt idx="0">
                  <c:v>3.7777777777777777</c:v>
                </c:pt>
                <c:pt idx="1">
                  <c:v>3.25</c:v>
                </c:pt>
                <c:pt idx="2">
                  <c:v>2.7777777777777777</c:v>
                </c:pt>
                <c:pt idx="3">
                  <c:v>2.3611111111111112</c:v>
                </c:pt>
                <c:pt idx="4">
                  <c:v>2</c:v>
                </c:pt>
                <c:pt idx="5">
                  <c:v>1.6944444444444444</c:v>
                </c:pt>
                <c:pt idx="6">
                  <c:v>1.4444444444444444</c:v>
                </c:pt>
                <c:pt idx="7">
                  <c:v>1.25</c:v>
                </c:pt>
                <c:pt idx="8">
                  <c:v>1.1111111111111112</c:v>
                </c:pt>
                <c:pt idx="9">
                  <c:v>1.0277777777777777</c:v>
                </c:pt>
                <c:pt idx="10">
                  <c:v>1</c:v>
                </c:pt>
                <c:pt idx="11">
                  <c:v>1.0277777777777777</c:v>
                </c:pt>
                <c:pt idx="12">
                  <c:v>1.1111111111111112</c:v>
                </c:pt>
                <c:pt idx="13">
                  <c:v>1.25</c:v>
                </c:pt>
                <c:pt idx="14">
                  <c:v>1.4444444444444444</c:v>
                </c:pt>
                <c:pt idx="15">
                  <c:v>1.6944444444444444</c:v>
                </c:pt>
                <c:pt idx="16">
                  <c:v>2</c:v>
                </c:pt>
                <c:pt idx="17">
                  <c:v>2.3611111111111112</c:v>
                </c:pt>
                <c:pt idx="18">
                  <c:v>2.7777777777777777</c:v>
                </c:pt>
                <c:pt idx="19">
                  <c:v>3.25</c:v>
                </c:pt>
                <c:pt idx="20">
                  <c:v>3.7777777777777777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C9D-4CF0-A498-545C19978A52}"/>
            </c:ext>
          </c:extLst>
        </c:ser>
        <c:ser>
          <c:idx val="12"/>
          <c:order val="12"/>
          <c:tx>
            <c:strRef>
              <c:f>'Задание 2.2'!$A$14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tint val="88000"/>
              </a:schemeClr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2.2'!$B$14:$V$14</c:f>
              <c:numCache>
                <c:formatCode>General</c:formatCode>
                <c:ptCount val="21"/>
                <c:pt idx="0">
                  <c:v>6.7777777777777777</c:v>
                </c:pt>
                <c:pt idx="1">
                  <c:v>6.25</c:v>
                </c:pt>
                <c:pt idx="2">
                  <c:v>5.7777777777777777</c:v>
                </c:pt>
                <c:pt idx="3">
                  <c:v>5.3611111111111107</c:v>
                </c:pt>
                <c:pt idx="4">
                  <c:v>5</c:v>
                </c:pt>
                <c:pt idx="5">
                  <c:v>4.6944444444444446</c:v>
                </c:pt>
                <c:pt idx="6">
                  <c:v>4.4444444444444446</c:v>
                </c:pt>
                <c:pt idx="7">
                  <c:v>4.25</c:v>
                </c:pt>
                <c:pt idx="8">
                  <c:v>4.1111111111111107</c:v>
                </c:pt>
                <c:pt idx="9">
                  <c:v>4.0277777777777777</c:v>
                </c:pt>
                <c:pt idx="10">
                  <c:v>4</c:v>
                </c:pt>
                <c:pt idx="11">
                  <c:v>4.0277777777777777</c:v>
                </c:pt>
                <c:pt idx="12">
                  <c:v>4.1111111111111107</c:v>
                </c:pt>
                <c:pt idx="13">
                  <c:v>4.25</c:v>
                </c:pt>
                <c:pt idx="14">
                  <c:v>4.4444444444444446</c:v>
                </c:pt>
                <c:pt idx="15">
                  <c:v>4.6944444444444446</c:v>
                </c:pt>
                <c:pt idx="16">
                  <c:v>5</c:v>
                </c:pt>
                <c:pt idx="17">
                  <c:v>5.3611111111111107</c:v>
                </c:pt>
                <c:pt idx="18">
                  <c:v>5.7777777777777777</c:v>
                </c:pt>
                <c:pt idx="19">
                  <c:v>6.25</c:v>
                </c:pt>
                <c:pt idx="20">
                  <c:v>6.7777777777777777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9D-4CF0-A498-545C19978A52}"/>
            </c:ext>
          </c:extLst>
        </c:ser>
        <c:ser>
          <c:idx val="13"/>
          <c:order val="13"/>
          <c:tx>
            <c:strRef>
              <c:f>'Задание 2.2'!$A$15</c:f>
              <c:strCache>
                <c:ptCount val="1"/>
                <c:pt idx="0">
                  <c:v>1,5</c:v>
                </c:pt>
              </c:strCache>
            </c:strRef>
          </c:tx>
          <c:spPr>
            <a:solidFill>
              <a:schemeClr val="accent1">
                <a:tint val="81000"/>
              </a:schemeClr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2.2'!$B$15:$V$15</c:f>
              <c:numCache>
                <c:formatCode>General</c:formatCode>
                <c:ptCount val="21"/>
                <c:pt idx="0">
                  <c:v>11.777777777777779</c:v>
                </c:pt>
                <c:pt idx="1">
                  <c:v>11.25</c:v>
                </c:pt>
                <c:pt idx="2">
                  <c:v>10.777777777777779</c:v>
                </c:pt>
                <c:pt idx="3">
                  <c:v>10.361111111111111</c:v>
                </c:pt>
                <c:pt idx="4">
                  <c:v>10</c:v>
                </c:pt>
                <c:pt idx="5">
                  <c:v>9.6944444444444446</c:v>
                </c:pt>
                <c:pt idx="6">
                  <c:v>9.4444444444444446</c:v>
                </c:pt>
                <c:pt idx="7">
                  <c:v>9.25</c:v>
                </c:pt>
                <c:pt idx="8">
                  <c:v>9.1111111111111107</c:v>
                </c:pt>
                <c:pt idx="9">
                  <c:v>9.0277777777777786</c:v>
                </c:pt>
                <c:pt idx="10">
                  <c:v>9</c:v>
                </c:pt>
                <c:pt idx="11">
                  <c:v>9.0277777777777786</c:v>
                </c:pt>
                <c:pt idx="12">
                  <c:v>9.1111111111111107</c:v>
                </c:pt>
                <c:pt idx="13">
                  <c:v>9.25</c:v>
                </c:pt>
                <c:pt idx="14">
                  <c:v>9.4444444444444446</c:v>
                </c:pt>
                <c:pt idx="15">
                  <c:v>9.6944444444444446</c:v>
                </c:pt>
                <c:pt idx="16">
                  <c:v>10</c:v>
                </c:pt>
                <c:pt idx="17">
                  <c:v>10.361111111111111</c:v>
                </c:pt>
                <c:pt idx="18">
                  <c:v>10.777777777777779</c:v>
                </c:pt>
                <c:pt idx="19">
                  <c:v>11.25</c:v>
                </c:pt>
                <c:pt idx="20">
                  <c:v>11.777777777777779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C9D-4CF0-A498-545C19978A52}"/>
            </c:ext>
          </c:extLst>
        </c:ser>
        <c:ser>
          <c:idx val="14"/>
          <c:order val="14"/>
          <c:tx>
            <c:strRef>
              <c:f>'Задание 2.2'!$A$16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tint val="75000"/>
              </a:schemeClr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2.2'!$B$16:$V$16</c:f>
              <c:numCache>
                <c:formatCode>General</c:formatCode>
                <c:ptCount val="21"/>
                <c:pt idx="0">
                  <c:v>18.777777777777779</c:v>
                </c:pt>
                <c:pt idx="1">
                  <c:v>18.25</c:v>
                </c:pt>
                <c:pt idx="2">
                  <c:v>17.777777777777779</c:v>
                </c:pt>
                <c:pt idx="3">
                  <c:v>17.361111111111111</c:v>
                </c:pt>
                <c:pt idx="4">
                  <c:v>17</c:v>
                </c:pt>
                <c:pt idx="5">
                  <c:v>16.694444444444443</c:v>
                </c:pt>
                <c:pt idx="6">
                  <c:v>16.444444444444443</c:v>
                </c:pt>
                <c:pt idx="7">
                  <c:v>16.25</c:v>
                </c:pt>
                <c:pt idx="8">
                  <c:v>16.111111111111111</c:v>
                </c:pt>
                <c:pt idx="9">
                  <c:v>16.027777777777779</c:v>
                </c:pt>
                <c:pt idx="10">
                  <c:v>16</c:v>
                </c:pt>
                <c:pt idx="11">
                  <c:v>16.027777777777779</c:v>
                </c:pt>
                <c:pt idx="12">
                  <c:v>16.111111111111111</c:v>
                </c:pt>
                <c:pt idx="13">
                  <c:v>16.25</c:v>
                </c:pt>
                <c:pt idx="14">
                  <c:v>16.444444444444443</c:v>
                </c:pt>
                <c:pt idx="15">
                  <c:v>16.694444444444443</c:v>
                </c:pt>
                <c:pt idx="16">
                  <c:v>17</c:v>
                </c:pt>
                <c:pt idx="17">
                  <c:v>17.361111111111111</c:v>
                </c:pt>
                <c:pt idx="18">
                  <c:v>17.777777777777779</c:v>
                </c:pt>
                <c:pt idx="19">
                  <c:v>18.25</c:v>
                </c:pt>
                <c:pt idx="20">
                  <c:v>18.777777777777779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C9D-4CF0-A498-545C19978A52}"/>
            </c:ext>
          </c:extLst>
        </c:ser>
        <c:ser>
          <c:idx val="15"/>
          <c:order val="15"/>
          <c:tx>
            <c:strRef>
              <c:f>'Задание 2.2'!$A$17</c:f>
              <c:strCache>
                <c:ptCount val="1"/>
                <c:pt idx="0">
                  <c:v>2,5</c:v>
                </c:pt>
              </c:strCache>
            </c:strRef>
          </c:tx>
          <c:spPr>
            <a:solidFill>
              <a:schemeClr val="accent1">
                <a:tint val="69000"/>
              </a:schemeClr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2.2'!$B$17:$V$17</c:f>
              <c:numCache>
                <c:formatCode>General</c:formatCode>
                <c:ptCount val="21"/>
                <c:pt idx="0">
                  <c:v>27.777777777777779</c:v>
                </c:pt>
                <c:pt idx="1">
                  <c:v>27.25</c:v>
                </c:pt>
                <c:pt idx="2">
                  <c:v>26.777777777777779</c:v>
                </c:pt>
                <c:pt idx="3">
                  <c:v>26.361111111111111</c:v>
                </c:pt>
                <c:pt idx="4">
                  <c:v>26</c:v>
                </c:pt>
                <c:pt idx="5">
                  <c:v>25.694444444444443</c:v>
                </c:pt>
                <c:pt idx="6">
                  <c:v>25.444444444444443</c:v>
                </c:pt>
                <c:pt idx="7">
                  <c:v>25.25</c:v>
                </c:pt>
                <c:pt idx="8">
                  <c:v>25.111111111111111</c:v>
                </c:pt>
                <c:pt idx="9">
                  <c:v>25.027777777777779</c:v>
                </c:pt>
                <c:pt idx="10">
                  <c:v>25</c:v>
                </c:pt>
                <c:pt idx="11">
                  <c:v>25.027777777777779</c:v>
                </c:pt>
                <c:pt idx="12">
                  <c:v>25.111111111111111</c:v>
                </c:pt>
                <c:pt idx="13">
                  <c:v>25.25</c:v>
                </c:pt>
                <c:pt idx="14">
                  <c:v>25.444444444444443</c:v>
                </c:pt>
                <c:pt idx="15">
                  <c:v>25.694444444444443</c:v>
                </c:pt>
                <c:pt idx="16">
                  <c:v>26</c:v>
                </c:pt>
                <c:pt idx="17">
                  <c:v>26.361111111111111</c:v>
                </c:pt>
                <c:pt idx="18">
                  <c:v>26.777777777777779</c:v>
                </c:pt>
                <c:pt idx="19">
                  <c:v>27.25</c:v>
                </c:pt>
                <c:pt idx="20">
                  <c:v>27.777777777777779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C9D-4CF0-A498-545C19978A52}"/>
            </c:ext>
          </c:extLst>
        </c:ser>
        <c:ser>
          <c:idx val="16"/>
          <c:order val="16"/>
          <c:tx>
            <c:strRef>
              <c:f>'Задание 2.2'!$A$18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>
                <a:tint val="62000"/>
              </a:schemeClr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2.2'!$B$18:$V$18</c:f>
              <c:numCache>
                <c:formatCode>General</c:formatCode>
                <c:ptCount val="21"/>
                <c:pt idx="0">
                  <c:v>38.777777777777779</c:v>
                </c:pt>
                <c:pt idx="1">
                  <c:v>38.25</c:v>
                </c:pt>
                <c:pt idx="2">
                  <c:v>37.777777777777779</c:v>
                </c:pt>
                <c:pt idx="3">
                  <c:v>37.361111111111114</c:v>
                </c:pt>
                <c:pt idx="4">
                  <c:v>37</c:v>
                </c:pt>
                <c:pt idx="5">
                  <c:v>36.694444444444443</c:v>
                </c:pt>
                <c:pt idx="6">
                  <c:v>36.444444444444443</c:v>
                </c:pt>
                <c:pt idx="7">
                  <c:v>36.25</c:v>
                </c:pt>
                <c:pt idx="8">
                  <c:v>36.111111111111114</c:v>
                </c:pt>
                <c:pt idx="9">
                  <c:v>36.027777777777779</c:v>
                </c:pt>
                <c:pt idx="10">
                  <c:v>36</c:v>
                </c:pt>
                <c:pt idx="11">
                  <c:v>36.027777777777779</c:v>
                </c:pt>
                <c:pt idx="12">
                  <c:v>36.111111111111114</c:v>
                </c:pt>
                <c:pt idx="13">
                  <c:v>36.25</c:v>
                </c:pt>
                <c:pt idx="14">
                  <c:v>36.444444444444443</c:v>
                </c:pt>
                <c:pt idx="15">
                  <c:v>36.694444444444443</c:v>
                </c:pt>
                <c:pt idx="16">
                  <c:v>37</c:v>
                </c:pt>
                <c:pt idx="17">
                  <c:v>37.361111111111114</c:v>
                </c:pt>
                <c:pt idx="18">
                  <c:v>37.777777777777779</c:v>
                </c:pt>
                <c:pt idx="19">
                  <c:v>38.25</c:v>
                </c:pt>
                <c:pt idx="20">
                  <c:v>38.777777777777779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C9D-4CF0-A498-545C19978A52}"/>
            </c:ext>
          </c:extLst>
        </c:ser>
        <c:ser>
          <c:idx val="17"/>
          <c:order val="17"/>
          <c:tx>
            <c:strRef>
              <c:f>'Задание 2.2'!$A$19</c:f>
              <c:strCache>
                <c:ptCount val="1"/>
                <c:pt idx="0">
                  <c:v>3,5</c:v>
                </c:pt>
              </c:strCache>
            </c:strRef>
          </c:tx>
          <c:spPr>
            <a:solidFill>
              <a:schemeClr val="accent1">
                <a:tint val="56000"/>
              </a:schemeClr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2.2'!$B$19:$V$19</c:f>
              <c:numCache>
                <c:formatCode>General</c:formatCode>
                <c:ptCount val="21"/>
                <c:pt idx="0">
                  <c:v>51.777777777777779</c:v>
                </c:pt>
                <c:pt idx="1">
                  <c:v>51.25</c:v>
                </c:pt>
                <c:pt idx="2">
                  <c:v>50.777777777777779</c:v>
                </c:pt>
                <c:pt idx="3">
                  <c:v>50.361111111111114</c:v>
                </c:pt>
                <c:pt idx="4">
                  <c:v>50</c:v>
                </c:pt>
                <c:pt idx="5">
                  <c:v>49.694444444444443</c:v>
                </c:pt>
                <c:pt idx="6">
                  <c:v>49.444444444444443</c:v>
                </c:pt>
                <c:pt idx="7">
                  <c:v>49.25</c:v>
                </c:pt>
                <c:pt idx="8">
                  <c:v>49.111111111111114</c:v>
                </c:pt>
                <c:pt idx="9">
                  <c:v>49.027777777777779</c:v>
                </c:pt>
                <c:pt idx="10">
                  <c:v>49</c:v>
                </c:pt>
                <c:pt idx="11">
                  <c:v>49.027777777777779</c:v>
                </c:pt>
                <c:pt idx="12">
                  <c:v>49.111111111111114</c:v>
                </c:pt>
                <c:pt idx="13">
                  <c:v>49.25</c:v>
                </c:pt>
                <c:pt idx="14">
                  <c:v>49.444444444444443</c:v>
                </c:pt>
                <c:pt idx="15">
                  <c:v>49.694444444444443</c:v>
                </c:pt>
                <c:pt idx="16">
                  <c:v>50</c:v>
                </c:pt>
                <c:pt idx="17">
                  <c:v>50.361111111111114</c:v>
                </c:pt>
                <c:pt idx="18">
                  <c:v>50.777777777777779</c:v>
                </c:pt>
                <c:pt idx="19">
                  <c:v>51.25</c:v>
                </c:pt>
                <c:pt idx="20">
                  <c:v>51.777777777777779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C9D-4CF0-A498-545C19978A52}"/>
            </c:ext>
          </c:extLst>
        </c:ser>
        <c:ser>
          <c:idx val="18"/>
          <c:order val="18"/>
          <c:tx>
            <c:strRef>
              <c:f>'Задание 2.2'!$A$20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>
                <a:tint val="50000"/>
              </a:schemeClr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2.2'!$B$20:$V$20</c:f>
              <c:numCache>
                <c:formatCode>General</c:formatCode>
                <c:ptCount val="21"/>
                <c:pt idx="0">
                  <c:v>66.777777777777771</c:v>
                </c:pt>
                <c:pt idx="1">
                  <c:v>66.25</c:v>
                </c:pt>
                <c:pt idx="2">
                  <c:v>65.777777777777771</c:v>
                </c:pt>
                <c:pt idx="3">
                  <c:v>65.361111111111114</c:v>
                </c:pt>
                <c:pt idx="4">
                  <c:v>65</c:v>
                </c:pt>
                <c:pt idx="5">
                  <c:v>64.694444444444443</c:v>
                </c:pt>
                <c:pt idx="6">
                  <c:v>64.444444444444443</c:v>
                </c:pt>
                <c:pt idx="7">
                  <c:v>64.25</c:v>
                </c:pt>
                <c:pt idx="8">
                  <c:v>64.111111111111114</c:v>
                </c:pt>
                <c:pt idx="9">
                  <c:v>64.027777777777771</c:v>
                </c:pt>
                <c:pt idx="10">
                  <c:v>64</c:v>
                </c:pt>
                <c:pt idx="11">
                  <c:v>64.027777777777771</c:v>
                </c:pt>
                <c:pt idx="12">
                  <c:v>64.111111111111114</c:v>
                </c:pt>
                <c:pt idx="13">
                  <c:v>64.25</c:v>
                </c:pt>
                <c:pt idx="14">
                  <c:v>64.444444444444443</c:v>
                </c:pt>
                <c:pt idx="15">
                  <c:v>64.694444444444443</c:v>
                </c:pt>
                <c:pt idx="16">
                  <c:v>65</c:v>
                </c:pt>
                <c:pt idx="17">
                  <c:v>65.361111111111114</c:v>
                </c:pt>
                <c:pt idx="18">
                  <c:v>65.777777777777771</c:v>
                </c:pt>
                <c:pt idx="19">
                  <c:v>66.25</c:v>
                </c:pt>
                <c:pt idx="20">
                  <c:v>66.777777777777771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C9D-4CF0-A498-545C19978A52}"/>
            </c:ext>
          </c:extLst>
        </c:ser>
        <c:ser>
          <c:idx val="19"/>
          <c:order val="19"/>
          <c:tx>
            <c:strRef>
              <c:f>'Задание 2.2'!$A$21</c:f>
              <c:strCache>
                <c:ptCount val="1"/>
                <c:pt idx="0">
                  <c:v>4,5</c:v>
                </c:pt>
              </c:strCache>
            </c:strRef>
          </c:tx>
          <c:spPr>
            <a:solidFill>
              <a:schemeClr val="accent1">
                <a:tint val="43000"/>
              </a:schemeClr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2.2'!$B$21:$V$21</c:f>
              <c:numCache>
                <c:formatCode>General</c:formatCode>
                <c:ptCount val="21"/>
                <c:pt idx="0">
                  <c:v>83.777777777777771</c:v>
                </c:pt>
                <c:pt idx="1">
                  <c:v>83.25</c:v>
                </c:pt>
                <c:pt idx="2">
                  <c:v>82.777777777777771</c:v>
                </c:pt>
                <c:pt idx="3">
                  <c:v>82.361111111111114</c:v>
                </c:pt>
                <c:pt idx="4">
                  <c:v>82</c:v>
                </c:pt>
                <c:pt idx="5">
                  <c:v>81.694444444444443</c:v>
                </c:pt>
                <c:pt idx="6">
                  <c:v>81.444444444444443</c:v>
                </c:pt>
                <c:pt idx="7">
                  <c:v>81.25</c:v>
                </c:pt>
                <c:pt idx="8">
                  <c:v>81.111111111111114</c:v>
                </c:pt>
                <c:pt idx="9">
                  <c:v>81.027777777777771</c:v>
                </c:pt>
                <c:pt idx="10">
                  <c:v>81</c:v>
                </c:pt>
                <c:pt idx="11">
                  <c:v>81.027777777777771</c:v>
                </c:pt>
                <c:pt idx="12">
                  <c:v>81.111111111111114</c:v>
                </c:pt>
                <c:pt idx="13">
                  <c:v>81.25</c:v>
                </c:pt>
                <c:pt idx="14">
                  <c:v>81.444444444444443</c:v>
                </c:pt>
                <c:pt idx="15">
                  <c:v>81.694444444444443</c:v>
                </c:pt>
                <c:pt idx="16">
                  <c:v>82</c:v>
                </c:pt>
                <c:pt idx="17">
                  <c:v>82.361111111111114</c:v>
                </c:pt>
                <c:pt idx="18">
                  <c:v>82.777777777777771</c:v>
                </c:pt>
                <c:pt idx="19">
                  <c:v>83.25</c:v>
                </c:pt>
                <c:pt idx="20">
                  <c:v>83.777777777777771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C9D-4CF0-A498-545C19978A52}"/>
            </c:ext>
          </c:extLst>
        </c:ser>
        <c:ser>
          <c:idx val="20"/>
          <c:order val="20"/>
          <c:tx>
            <c:strRef>
              <c:f>'Задание 2.2'!$A$22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>
                <a:tint val="37000"/>
              </a:schemeClr>
            </a:solidFill>
            <a:ln/>
            <a:effectLst/>
            <a:sp3d/>
          </c:spPr>
          <c:cat>
            <c:numRef>
              <c:f>'Задание 2.2'!$B$1:$V$1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cat>
          <c:val>
            <c:numRef>
              <c:f>'Задание 2.2'!$B$22:$V$22</c:f>
              <c:numCache>
                <c:formatCode>General</c:formatCode>
                <c:ptCount val="21"/>
                <c:pt idx="0">
                  <c:v>102.77777777777777</c:v>
                </c:pt>
                <c:pt idx="1">
                  <c:v>102.25</c:v>
                </c:pt>
                <c:pt idx="2">
                  <c:v>101.77777777777777</c:v>
                </c:pt>
                <c:pt idx="3">
                  <c:v>101.36111111111111</c:v>
                </c:pt>
                <c:pt idx="4">
                  <c:v>101</c:v>
                </c:pt>
                <c:pt idx="5">
                  <c:v>100.69444444444444</c:v>
                </c:pt>
                <c:pt idx="6">
                  <c:v>100.44444444444444</c:v>
                </c:pt>
                <c:pt idx="7">
                  <c:v>100.25</c:v>
                </c:pt>
                <c:pt idx="8">
                  <c:v>100.11111111111111</c:v>
                </c:pt>
                <c:pt idx="9">
                  <c:v>100.02777777777777</c:v>
                </c:pt>
                <c:pt idx="10">
                  <c:v>100</c:v>
                </c:pt>
                <c:pt idx="11">
                  <c:v>100.02777777777777</c:v>
                </c:pt>
                <c:pt idx="12">
                  <c:v>100.11111111111111</c:v>
                </c:pt>
                <c:pt idx="13">
                  <c:v>100.25</c:v>
                </c:pt>
                <c:pt idx="14">
                  <c:v>100.44444444444444</c:v>
                </c:pt>
                <c:pt idx="15">
                  <c:v>100.69444444444444</c:v>
                </c:pt>
                <c:pt idx="16">
                  <c:v>101</c:v>
                </c:pt>
                <c:pt idx="17">
                  <c:v>101.36111111111111</c:v>
                </c:pt>
                <c:pt idx="18">
                  <c:v>101.77777777777777</c:v>
                </c:pt>
                <c:pt idx="19">
                  <c:v>102.25</c:v>
                </c:pt>
                <c:pt idx="20">
                  <c:v>102.77777777777777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C9D-4CF0-A498-545C19978A52}"/>
            </c:ext>
          </c:extLst>
        </c:ser>
        <c:bandFmts>
          <c:bandFmt>
            <c:idx val="0"/>
            <c:spPr>
              <a:solidFill>
                <a:schemeClr val="accent1">
                  <a:shade val="58000"/>
                </a:schemeClr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1">
                  <a:shade val="86000"/>
                </a:schemeClr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1">
                  <a:tint val="86000"/>
                </a:schemeClr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1">
                  <a:tint val="58000"/>
                </a:schemeClr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1">
                  <a:tint val="30000"/>
                </a:schemeClr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1">
                  <a:tint val="2000"/>
                </a:schemeClr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tint val="74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1">
                  <a:tint val="46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1">
                  <a:tint val="18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1">
                  <a:tint val="9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1">
                  <a:tint val="62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1">
                  <a:tint val="34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tint val="6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1">
                  <a:tint val="78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1">
                  <a:tint val="50000"/>
                </a:schemeClr>
              </a:solidFill>
              <a:ln/>
              <a:effectLst/>
              <a:sp3d/>
            </c:spPr>
          </c:bandFmt>
        </c:bandFmts>
        <c:axId val="1596573263"/>
        <c:axId val="1596567983"/>
        <c:axId val="1647862815"/>
      </c:surface3DChart>
      <c:catAx>
        <c:axId val="15965732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596567983"/>
        <c:crosses val="autoZero"/>
        <c:auto val="1"/>
        <c:lblAlgn val="ctr"/>
        <c:lblOffset val="100"/>
        <c:noMultiLvlLbl val="0"/>
      </c:catAx>
      <c:valAx>
        <c:axId val="159656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596573263"/>
        <c:crosses val="autoZero"/>
        <c:crossBetween val="midCat"/>
      </c:valAx>
      <c:serAx>
        <c:axId val="164786281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596567983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5</xdr:col>
      <xdr:colOff>714375</xdr:colOff>
      <xdr:row>27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8AC950C-39BD-9438-C469-17FA4A091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9524</xdr:rowOff>
    </xdr:from>
    <xdr:to>
      <xdr:col>5</xdr:col>
      <xdr:colOff>714375</xdr:colOff>
      <xdr:row>46</xdr:row>
      <xdr:rowOff>19049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7B1E361-78AD-FE80-701F-DFCD3B822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52</xdr:row>
      <xdr:rowOff>4762</xdr:rowOff>
    </xdr:from>
    <xdr:to>
      <xdr:col>5</xdr:col>
      <xdr:colOff>714375</xdr:colOff>
      <xdr:row>66</xdr:row>
      <xdr:rowOff>14287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893BE2D-751E-F733-CF63-FCE3E939B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72</xdr:row>
      <xdr:rowOff>4762</xdr:rowOff>
    </xdr:from>
    <xdr:to>
      <xdr:col>5</xdr:col>
      <xdr:colOff>714375</xdr:colOff>
      <xdr:row>86</xdr:row>
      <xdr:rowOff>14287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8CE2A7E-3CDE-ED53-9365-C934D1830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11906</xdr:colOff>
      <xdr:row>113</xdr:row>
      <xdr:rowOff>4762</xdr:rowOff>
    </xdr:from>
    <xdr:to>
      <xdr:col>5</xdr:col>
      <xdr:colOff>726281</xdr:colOff>
      <xdr:row>127</xdr:row>
      <xdr:rowOff>14287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510CE60E-8B44-90AD-1BD1-F3448F38A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4762</xdr:rowOff>
    </xdr:from>
    <xdr:to>
      <xdr:col>7</xdr:col>
      <xdr:colOff>38100</xdr:colOff>
      <xdr:row>41</xdr:row>
      <xdr:rowOff>33337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D042ED9-C8B7-04C6-7256-B6DEF93BC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F64AC-20D7-45B0-9F96-8527F9898A9E}">
  <dimension ref="A1:AP112"/>
  <sheetViews>
    <sheetView tabSelected="1" topLeftCell="A111" zoomScaleNormal="100" workbookViewId="0">
      <selection activeCell="B131" sqref="B131"/>
    </sheetView>
  </sheetViews>
  <sheetFormatPr defaultRowHeight="15.4" x14ac:dyDescent="0.45"/>
  <cols>
    <col min="1" max="12" width="10.796875" style="1" customWidth="1"/>
    <col min="13" max="13" width="6.86328125" style="1" customWidth="1"/>
    <col min="14" max="16384" width="9.06640625" style="1"/>
  </cols>
  <sheetData>
    <row r="1" spans="1:12" ht="49.9" customHeight="1" x14ac:dyDescent="0.45">
      <c r="A1" s="4" t="s">
        <v>0</v>
      </c>
      <c r="B1" s="7">
        <v>38901</v>
      </c>
      <c r="C1" s="5"/>
      <c r="D1" s="5"/>
      <c r="E1" s="5"/>
      <c r="F1" s="5"/>
      <c r="G1" s="5"/>
    </row>
    <row r="2" spans="1:12" x14ac:dyDescent="0.45">
      <c r="A2" s="6" t="s">
        <v>1</v>
      </c>
      <c r="B2" s="2">
        <v>3</v>
      </c>
      <c r="C2" s="5"/>
      <c r="D2" s="5"/>
      <c r="E2" s="5"/>
      <c r="F2" s="5"/>
      <c r="G2" s="5"/>
    </row>
    <row r="3" spans="1:12" x14ac:dyDescent="0.45">
      <c r="A3" s="3" t="s">
        <v>2</v>
      </c>
      <c r="B3" s="2">
        <v>7</v>
      </c>
    </row>
    <row r="4" spans="1:12" x14ac:dyDescent="0.45">
      <c r="A4" s="3" t="s">
        <v>3</v>
      </c>
      <c r="B4" s="2">
        <v>2006</v>
      </c>
    </row>
    <row r="5" spans="1:12" x14ac:dyDescent="0.45">
      <c r="A5" s="3" t="s">
        <v>4</v>
      </c>
      <c r="B5" s="2">
        <v>36</v>
      </c>
    </row>
    <row r="6" spans="1:12" x14ac:dyDescent="0.45">
      <c r="A6" s="3" t="s">
        <v>5</v>
      </c>
      <c r="B6" s="2">
        <v>73</v>
      </c>
    </row>
    <row r="7" spans="1:12" x14ac:dyDescent="0.45">
      <c r="A7" s="3" t="s">
        <v>6</v>
      </c>
      <c r="B7" s="2">
        <v>10</v>
      </c>
    </row>
    <row r="11" spans="1:12" x14ac:dyDescent="0.45">
      <c r="A11" s="3" t="s">
        <v>7</v>
      </c>
      <c r="B11" s="2">
        <v>-5</v>
      </c>
      <c r="C11" s="2">
        <v>-4</v>
      </c>
      <c r="D11" s="2">
        <v>-3</v>
      </c>
      <c r="E11" s="2">
        <v>-2</v>
      </c>
      <c r="F11" s="2">
        <v>-1</v>
      </c>
      <c r="G11" s="2">
        <v>0</v>
      </c>
      <c r="H11" s="2">
        <v>1</v>
      </c>
      <c r="I11" s="2">
        <v>2</v>
      </c>
      <c r="J11" s="2">
        <v>3</v>
      </c>
      <c r="K11" s="2">
        <v>4</v>
      </c>
      <c r="L11" s="2">
        <v>5</v>
      </c>
    </row>
    <row r="12" spans="1:12" x14ac:dyDescent="0.45">
      <c r="A12" s="3" t="s">
        <v>8</v>
      </c>
      <c r="B12" s="2">
        <f>ABS($B$2/$B$3+ABS(B11))</f>
        <v>5.4285714285714288</v>
      </c>
      <c r="C12" s="2">
        <f t="shared" ref="C12:L12" si="0">ABS($B$2/$B$3+ABS(C11))</f>
        <v>4.4285714285714288</v>
      </c>
      <c r="D12" s="2">
        <f t="shared" si="0"/>
        <v>3.4285714285714284</v>
      </c>
      <c r="E12" s="2">
        <f t="shared" si="0"/>
        <v>2.4285714285714284</v>
      </c>
      <c r="F12" s="2">
        <f t="shared" si="0"/>
        <v>1.4285714285714286</v>
      </c>
      <c r="G12" s="2">
        <f t="shared" si="0"/>
        <v>0.42857142857142855</v>
      </c>
      <c r="H12" s="2">
        <f t="shared" si="0"/>
        <v>1.4285714285714286</v>
      </c>
      <c r="I12" s="2">
        <f t="shared" si="0"/>
        <v>2.4285714285714284</v>
      </c>
      <c r="J12" s="2">
        <f t="shared" si="0"/>
        <v>3.4285714285714284</v>
      </c>
      <c r="K12" s="2">
        <f t="shared" si="0"/>
        <v>4.4285714285714288</v>
      </c>
      <c r="L12" s="2">
        <f t="shared" si="0"/>
        <v>5.4285714285714288</v>
      </c>
    </row>
    <row r="29" spans="1:12" x14ac:dyDescent="0.45">
      <c r="A29" s="3" t="s">
        <v>9</v>
      </c>
      <c r="B29" s="2">
        <f>MOD(B4,10)</f>
        <v>6</v>
      </c>
    </row>
    <row r="30" spans="1:12" x14ac:dyDescent="0.45">
      <c r="A30" s="3" t="s">
        <v>7</v>
      </c>
      <c r="B30" s="2">
        <v>-5</v>
      </c>
      <c r="C30" s="2">
        <v>-4</v>
      </c>
      <c r="D30" s="2">
        <v>-3</v>
      </c>
      <c r="E30" s="2">
        <v>-2</v>
      </c>
      <c r="F30" s="2">
        <v>-1</v>
      </c>
      <c r="G30" s="2">
        <v>0</v>
      </c>
      <c r="H30" s="2">
        <v>1</v>
      </c>
      <c r="I30" s="2">
        <v>2</v>
      </c>
      <c r="J30" s="2">
        <v>3</v>
      </c>
      <c r="K30" s="2">
        <v>4</v>
      </c>
      <c r="L30" s="2">
        <v>5</v>
      </c>
    </row>
    <row r="31" spans="1:12" x14ac:dyDescent="0.45">
      <c r="A31" s="3" t="s">
        <v>8</v>
      </c>
      <c r="B31" s="2">
        <f>$B$2*(B30)^2+$B$3*B30+$B$29</f>
        <v>46</v>
      </c>
      <c r="C31" s="2">
        <f t="shared" ref="C31:L31" si="1">$B$2*(C30)^2+$B$3*C30+$B$29</f>
        <v>26</v>
      </c>
      <c r="D31" s="2">
        <f t="shared" si="1"/>
        <v>12</v>
      </c>
      <c r="E31" s="2">
        <f t="shared" si="1"/>
        <v>4</v>
      </c>
      <c r="F31" s="2">
        <f t="shared" si="1"/>
        <v>2</v>
      </c>
      <c r="G31" s="2">
        <f t="shared" si="1"/>
        <v>6</v>
      </c>
      <c r="H31" s="2">
        <f t="shared" si="1"/>
        <v>16</v>
      </c>
      <c r="I31" s="2">
        <f t="shared" si="1"/>
        <v>32</v>
      </c>
      <c r="J31" s="2">
        <f t="shared" si="1"/>
        <v>54</v>
      </c>
      <c r="K31" s="2">
        <f t="shared" si="1"/>
        <v>82</v>
      </c>
      <c r="L31" s="2">
        <f t="shared" si="1"/>
        <v>116</v>
      </c>
    </row>
    <row r="48" spans="1:2" x14ac:dyDescent="0.45">
      <c r="A48" s="3" t="s">
        <v>10</v>
      </c>
      <c r="B48" s="2">
        <f>AVERAGE(B2,B3,B7)</f>
        <v>6.666666666666667</v>
      </c>
    </row>
    <row r="49" spans="1:42" x14ac:dyDescent="0.45">
      <c r="A49" s="8" t="s">
        <v>9</v>
      </c>
      <c r="B49" s="9">
        <f>AVERAGE(B5,B6,B7)</f>
        <v>39.666666666666664</v>
      </c>
    </row>
    <row r="50" spans="1:42" x14ac:dyDescent="0.45">
      <c r="A50" s="3" t="s">
        <v>7</v>
      </c>
      <c r="B50" s="2">
        <v>-10</v>
      </c>
      <c r="C50" s="2">
        <v>-9.5</v>
      </c>
      <c r="D50" s="2">
        <v>-9</v>
      </c>
      <c r="E50" s="2">
        <v>-8.5</v>
      </c>
      <c r="F50" s="2">
        <v>-8</v>
      </c>
      <c r="G50" s="2">
        <v>-7.5</v>
      </c>
      <c r="H50" s="2">
        <v>-7</v>
      </c>
      <c r="I50" s="2">
        <v>-6.5</v>
      </c>
      <c r="J50" s="2">
        <v>-6</v>
      </c>
      <c r="K50" s="2">
        <v>-5.5</v>
      </c>
      <c r="L50" s="2">
        <v>-5</v>
      </c>
      <c r="M50" s="2">
        <v>-4.5</v>
      </c>
      <c r="N50" s="2">
        <v>-4</v>
      </c>
      <c r="O50" s="2">
        <v>-3.5</v>
      </c>
      <c r="P50" s="2">
        <v>-3</v>
      </c>
      <c r="Q50" s="2">
        <v>-2.5</v>
      </c>
      <c r="R50" s="2">
        <v>-2</v>
      </c>
      <c r="S50" s="2">
        <v>-1.5</v>
      </c>
      <c r="T50" s="2">
        <v>-1</v>
      </c>
      <c r="U50" s="2">
        <v>-0.5</v>
      </c>
      <c r="V50" s="2">
        <v>0</v>
      </c>
      <c r="W50" s="2">
        <v>0.5</v>
      </c>
      <c r="X50" s="2">
        <v>1</v>
      </c>
      <c r="Y50" s="2">
        <v>1.5</v>
      </c>
      <c r="Z50" s="2">
        <v>2</v>
      </c>
      <c r="AA50" s="2">
        <v>2.5</v>
      </c>
      <c r="AB50" s="2">
        <v>3</v>
      </c>
      <c r="AC50" s="2">
        <v>3.5</v>
      </c>
      <c r="AD50" s="2">
        <v>4</v>
      </c>
      <c r="AE50" s="2">
        <v>4.5</v>
      </c>
      <c r="AF50" s="2">
        <v>5</v>
      </c>
      <c r="AG50" s="2">
        <v>5.5</v>
      </c>
      <c r="AH50" s="2">
        <v>6</v>
      </c>
      <c r="AI50" s="2">
        <v>6.5</v>
      </c>
      <c r="AJ50" s="2">
        <v>7</v>
      </c>
      <c r="AK50" s="2">
        <v>7.5</v>
      </c>
      <c r="AL50" s="2">
        <v>8</v>
      </c>
      <c r="AM50" s="2">
        <v>8.5</v>
      </c>
      <c r="AN50" s="2">
        <v>9</v>
      </c>
      <c r="AO50" s="2">
        <v>9.5</v>
      </c>
      <c r="AP50" s="2">
        <v>10</v>
      </c>
    </row>
    <row r="51" spans="1:42" x14ac:dyDescent="0.45">
      <c r="A51" s="3" t="s">
        <v>8</v>
      </c>
      <c r="B51" s="2">
        <f>ABS(-5*(B50)^2+$B$48*B50+$B$49)</f>
        <v>527</v>
      </c>
      <c r="C51" s="2">
        <f t="shared" ref="C51:L51" si="2">ABS(-5*(C50)^2+$B$48*C50+$B$49)</f>
        <v>474.91666666666669</v>
      </c>
      <c r="D51" s="2">
        <f t="shared" si="2"/>
        <v>425.33333333333331</v>
      </c>
      <c r="E51" s="2">
        <f t="shared" ref="E51:F51" si="3">ABS(-5*(E50)^2+$B$48*E50+$B$49)</f>
        <v>378.25</v>
      </c>
      <c r="F51" s="2">
        <f t="shared" si="3"/>
        <v>333.66666666666663</v>
      </c>
      <c r="G51" s="2">
        <f t="shared" ref="G51:H51" si="4">ABS(-5*(G50)^2+$B$48*G50+$B$49)</f>
        <v>291.58333333333331</v>
      </c>
      <c r="H51" s="2">
        <f t="shared" si="4"/>
        <v>252.00000000000003</v>
      </c>
      <c r="I51" s="2">
        <f t="shared" ref="I51:J51" si="5">ABS(-5*(I50)^2+$B$48*I50+$B$49)</f>
        <v>214.91666666666669</v>
      </c>
      <c r="J51" s="2">
        <f t="shared" si="5"/>
        <v>180.33333333333334</v>
      </c>
      <c r="K51" s="2">
        <f t="shared" ref="K51:L51" si="6">ABS(-5*(K50)^2+$B$48*K50+$B$49)</f>
        <v>148.25000000000003</v>
      </c>
      <c r="L51" s="2">
        <f t="shared" si="6"/>
        <v>118.66666666666669</v>
      </c>
      <c r="M51" s="2">
        <f t="shared" ref="M51:N51" si="7">ABS(-5*(M50)^2+$B$48*M50+$B$49)</f>
        <v>91.583333333333343</v>
      </c>
      <c r="N51" s="2">
        <f t="shared" si="7"/>
        <v>67</v>
      </c>
      <c r="O51" s="2">
        <f t="shared" ref="O51:P51" si="8">ABS(-5*(O50)^2+$B$48*O50+$B$49)</f>
        <v>44.916666666666679</v>
      </c>
      <c r="P51" s="2">
        <f t="shared" si="8"/>
        <v>25.333333333333336</v>
      </c>
      <c r="Q51" s="2">
        <f t="shared" ref="Q51:R51" si="9">ABS(-5*(Q50)^2+$B$48*Q50+$B$49)</f>
        <v>8.2500000000000071</v>
      </c>
      <c r="R51" s="2">
        <f t="shared" si="9"/>
        <v>6.3333333333333286</v>
      </c>
      <c r="S51" s="2">
        <f t="shared" ref="S51:T51" si="10">ABS(-5*(S50)^2+$B$48*S50+$B$49)</f>
        <v>18.416666666666664</v>
      </c>
      <c r="T51" s="2">
        <f t="shared" si="10"/>
        <v>27.999999999999996</v>
      </c>
      <c r="U51" s="2">
        <f t="shared" ref="U51:V51" si="11">ABS(-5*(U50)^2+$B$48*U50+$B$49)</f>
        <v>35.083333333333329</v>
      </c>
      <c r="V51" s="2">
        <f t="shared" si="11"/>
        <v>39.666666666666664</v>
      </c>
      <c r="W51" s="2">
        <f t="shared" ref="W51:X51" si="12">ABS(-5*(W50)^2+$B$48*W50+$B$49)</f>
        <v>41.75</v>
      </c>
      <c r="X51" s="2">
        <f t="shared" si="12"/>
        <v>41.333333333333329</v>
      </c>
      <c r="Y51" s="2">
        <f t="shared" ref="Y51:Z51" si="13">ABS(-5*(Y50)^2+$B$48*Y50+$B$49)</f>
        <v>38.416666666666664</v>
      </c>
      <c r="Z51" s="2">
        <f t="shared" si="13"/>
        <v>33</v>
      </c>
      <c r="AA51" s="2">
        <f t="shared" ref="AA51:AB51" si="14">ABS(-5*(AA50)^2+$B$48*AA50+$B$49)</f>
        <v>25.083333333333332</v>
      </c>
      <c r="AB51" s="2">
        <f t="shared" si="14"/>
        <v>14.666666666666664</v>
      </c>
      <c r="AC51" s="2">
        <f t="shared" ref="AC51:AD51" si="15">ABS(-5*(AC50)^2+$B$48*AC50+$B$49)</f>
        <v>1.75</v>
      </c>
      <c r="AD51" s="2">
        <f t="shared" si="15"/>
        <v>13.666666666666664</v>
      </c>
      <c r="AE51" s="2">
        <f t="shared" ref="AE51:AF51" si="16">ABS(-5*(AE50)^2+$B$48*AE50+$B$49)</f>
        <v>31.583333333333336</v>
      </c>
      <c r="AF51" s="2">
        <f t="shared" si="16"/>
        <v>51.999999999999993</v>
      </c>
      <c r="AG51" s="2">
        <f t="shared" ref="AG51:AH51" si="17">ABS(-5*(AG50)^2+$B$48*AG50+$B$49)</f>
        <v>74.916666666666657</v>
      </c>
      <c r="AH51" s="2">
        <f t="shared" si="17"/>
        <v>100.33333333333334</v>
      </c>
      <c r="AI51" s="2">
        <f t="shared" ref="AI51:AJ51" si="18">ABS(-5*(AI50)^2+$B$48*AI50+$B$49)</f>
        <v>128.25</v>
      </c>
      <c r="AJ51" s="2">
        <f t="shared" si="18"/>
        <v>158.66666666666666</v>
      </c>
      <c r="AK51" s="2">
        <f t="shared" ref="AK51:AL51" si="19">ABS(-5*(AK50)^2+$B$48*AK50+$B$49)</f>
        <v>191.58333333333334</v>
      </c>
      <c r="AL51" s="2">
        <f t="shared" si="19"/>
        <v>227.00000000000003</v>
      </c>
      <c r="AM51" s="2">
        <f t="shared" ref="AM51:AN51" si="20">ABS(-5*(AM50)^2+$B$48*AM50+$B$49)</f>
        <v>264.91666666666663</v>
      </c>
      <c r="AN51" s="2">
        <f t="shared" si="20"/>
        <v>305.33333333333331</v>
      </c>
      <c r="AO51" s="2">
        <f t="shared" ref="AO51:AP51" si="21">ABS(-5*(AO50)^2+$B$48*AO50+$B$49)</f>
        <v>348.25</v>
      </c>
      <c r="AP51" s="2">
        <f t="shared" si="21"/>
        <v>393.66666666666663</v>
      </c>
    </row>
    <row r="68" spans="1:12" x14ac:dyDescent="0.45">
      <c r="A68" s="3" t="s">
        <v>11</v>
      </c>
      <c r="B68" s="2">
        <f>ABS(B5-B2)+3</f>
        <v>36</v>
      </c>
    </row>
    <row r="69" spans="1:12" x14ac:dyDescent="0.45">
      <c r="A69" s="3" t="s">
        <v>10</v>
      </c>
      <c r="B69" s="2">
        <f>GCD(B2,B6)+B7</f>
        <v>11</v>
      </c>
    </row>
    <row r="70" spans="1:12" x14ac:dyDescent="0.45">
      <c r="A70" s="3" t="s">
        <v>7</v>
      </c>
      <c r="B70" s="2">
        <v>-5</v>
      </c>
      <c r="C70" s="2">
        <v>-4</v>
      </c>
      <c r="D70" s="2">
        <v>-3</v>
      </c>
      <c r="E70" s="2">
        <v>-2</v>
      </c>
      <c r="F70" s="2">
        <v>-1</v>
      </c>
      <c r="G70" s="2">
        <v>0</v>
      </c>
      <c r="H70" s="2">
        <v>1</v>
      </c>
      <c r="I70" s="2">
        <v>2</v>
      </c>
      <c r="J70" s="2">
        <v>3</v>
      </c>
      <c r="K70" s="2">
        <v>4</v>
      </c>
      <c r="L70" s="2">
        <v>5</v>
      </c>
    </row>
    <row r="71" spans="1:12" x14ac:dyDescent="0.45">
      <c r="A71" s="3" t="s">
        <v>8</v>
      </c>
      <c r="B71" s="2">
        <f>LOG($B$69,$B$68)</f>
        <v>0.66914541655288629</v>
      </c>
      <c r="C71" s="2">
        <f t="shared" ref="C71:L71" si="22">LOG($B$69,$B$68)</f>
        <v>0.66914541655288629</v>
      </c>
      <c r="D71" s="2">
        <f t="shared" si="22"/>
        <v>0.66914541655288629</v>
      </c>
      <c r="E71" s="2">
        <f t="shared" si="22"/>
        <v>0.66914541655288629</v>
      </c>
      <c r="F71" s="2">
        <f t="shared" si="22"/>
        <v>0.66914541655288629</v>
      </c>
      <c r="G71" s="2">
        <f t="shared" si="22"/>
        <v>0.66914541655288629</v>
      </c>
      <c r="H71" s="2">
        <f t="shared" si="22"/>
        <v>0.66914541655288629</v>
      </c>
      <c r="I71" s="2">
        <f t="shared" si="22"/>
        <v>0.66914541655288629</v>
      </c>
      <c r="J71" s="2">
        <f t="shared" si="22"/>
        <v>0.66914541655288629</v>
      </c>
      <c r="K71" s="2">
        <f t="shared" si="22"/>
        <v>0.66914541655288629</v>
      </c>
      <c r="L71" s="2">
        <f t="shared" si="22"/>
        <v>0.66914541655288629</v>
      </c>
    </row>
    <row r="88" spans="1:22" x14ac:dyDescent="0.45">
      <c r="A88" s="3"/>
      <c r="B88" s="3">
        <v>-5</v>
      </c>
      <c r="C88" s="3">
        <v>-4.5</v>
      </c>
      <c r="D88" s="3">
        <v>-4</v>
      </c>
      <c r="E88" s="3">
        <v>-3.5</v>
      </c>
      <c r="F88" s="3">
        <v>-3</v>
      </c>
      <c r="G88" s="3">
        <v>-2.5</v>
      </c>
      <c r="H88" s="3">
        <v>-2</v>
      </c>
      <c r="I88" s="3">
        <v>-1.5</v>
      </c>
      <c r="J88" s="3">
        <v>-1</v>
      </c>
      <c r="K88" s="3">
        <v>-0.5</v>
      </c>
      <c r="L88" s="3">
        <v>0</v>
      </c>
      <c r="M88" s="3">
        <v>0.5</v>
      </c>
      <c r="N88" s="3">
        <v>1</v>
      </c>
      <c r="O88" s="3">
        <v>1.5</v>
      </c>
      <c r="P88" s="3">
        <v>2</v>
      </c>
      <c r="Q88" s="3">
        <v>2.5</v>
      </c>
      <c r="R88" s="3">
        <v>3</v>
      </c>
      <c r="S88" s="3">
        <v>3.5</v>
      </c>
      <c r="T88" s="3">
        <v>4</v>
      </c>
      <c r="U88" s="3">
        <v>4.5</v>
      </c>
      <c r="V88" s="3">
        <v>5</v>
      </c>
    </row>
    <row r="89" spans="1:22" x14ac:dyDescent="0.45">
      <c r="A89" s="3">
        <v>-5</v>
      </c>
      <c r="B89" s="2">
        <f>(B$88)^2/($B$111)^2+($A89)^2/($B$112)^2</f>
        <v>50</v>
      </c>
      <c r="C89" s="2">
        <f t="shared" ref="C89:V101" si="23">(C$88)^2/($B$111)^2+($A89)^2/($B$112)^2</f>
        <v>45.25</v>
      </c>
      <c r="D89" s="2">
        <f t="shared" si="23"/>
        <v>41</v>
      </c>
      <c r="E89" s="2">
        <f t="shared" si="23"/>
        <v>37.25</v>
      </c>
      <c r="F89" s="2">
        <f t="shared" si="23"/>
        <v>34</v>
      </c>
      <c r="G89" s="2">
        <f t="shared" si="23"/>
        <v>31.25</v>
      </c>
      <c r="H89" s="2">
        <f t="shared" si="23"/>
        <v>29</v>
      </c>
      <c r="I89" s="2">
        <f t="shared" si="23"/>
        <v>27.25</v>
      </c>
      <c r="J89" s="2">
        <f t="shared" si="23"/>
        <v>26</v>
      </c>
      <c r="K89" s="2">
        <f t="shared" si="23"/>
        <v>25.25</v>
      </c>
      <c r="L89" s="2">
        <f t="shared" si="23"/>
        <v>25</v>
      </c>
      <c r="M89" s="2">
        <f t="shared" si="23"/>
        <v>25.25</v>
      </c>
      <c r="N89" s="2">
        <f t="shared" si="23"/>
        <v>26</v>
      </c>
      <c r="O89" s="2">
        <f t="shared" si="23"/>
        <v>27.25</v>
      </c>
      <c r="P89" s="2">
        <f t="shared" si="23"/>
        <v>29</v>
      </c>
      <c r="Q89" s="2">
        <f t="shared" si="23"/>
        <v>31.25</v>
      </c>
      <c r="R89" s="2">
        <f t="shared" si="23"/>
        <v>34</v>
      </c>
      <c r="S89" s="2">
        <f t="shared" si="23"/>
        <v>37.25</v>
      </c>
      <c r="T89" s="2">
        <f t="shared" si="23"/>
        <v>41</v>
      </c>
      <c r="U89" s="2">
        <f t="shared" si="23"/>
        <v>45.25</v>
      </c>
      <c r="V89" s="2">
        <f t="shared" si="23"/>
        <v>50</v>
      </c>
    </row>
    <row r="90" spans="1:22" x14ac:dyDescent="0.45">
      <c r="A90" s="3">
        <v>-4.5</v>
      </c>
      <c r="B90" s="2">
        <f t="shared" ref="B90:Q109" si="24">(B$88)^2/($B$111)^2+($A90)^2/($B$112)^2</f>
        <v>45.25</v>
      </c>
      <c r="C90" s="2">
        <f t="shared" si="23"/>
        <v>40.5</v>
      </c>
      <c r="D90" s="2">
        <f t="shared" si="23"/>
        <v>36.25</v>
      </c>
      <c r="E90" s="2">
        <f t="shared" si="23"/>
        <v>32.5</v>
      </c>
      <c r="F90" s="2">
        <f t="shared" si="23"/>
        <v>29.25</v>
      </c>
      <c r="G90" s="2">
        <f t="shared" si="23"/>
        <v>26.5</v>
      </c>
      <c r="H90" s="2">
        <f t="shared" si="23"/>
        <v>24.25</v>
      </c>
      <c r="I90" s="2">
        <f t="shared" si="23"/>
        <v>22.5</v>
      </c>
      <c r="J90" s="2">
        <f t="shared" si="23"/>
        <v>21.25</v>
      </c>
      <c r="K90" s="2">
        <f t="shared" si="23"/>
        <v>20.5</v>
      </c>
      <c r="L90" s="2">
        <f t="shared" si="23"/>
        <v>20.25</v>
      </c>
      <c r="M90" s="2">
        <f t="shared" si="23"/>
        <v>20.5</v>
      </c>
      <c r="N90" s="2">
        <f t="shared" si="23"/>
        <v>21.25</v>
      </c>
      <c r="O90" s="2">
        <f t="shared" si="23"/>
        <v>22.5</v>
      </c>
      <c r="P90" s="2">
        <f t="shared" si="23"/>
        <v>24.25</v>
      </c>
      <c r="Q90" s="2">
        <f t="shared" si="23"/>
        <v>26.5</v>
      </c>
      <c r="R90" s="2">
        <f t="shared" si="23"/>
        <v>29.25</v>
      </c>
      <c r="S90" s="2">
        <f t="shared" si="23"/>
        <v>32.5</v>
      </c>
      <c r="T90" s="2">
        <f t="shared" si="23"/>
        <v>36.25</v>
      </c>
      <c r="U90" s="2">
        <f t="shared" si="23"/>
        <v>40.5</v>
      </c>
      <c r="V90" s="2">
        <f t="shared" si="23"/>
        <v>45.25</v>
      </c>
    </row>
    <row r="91" spans="1:22" x14ac:dyDescent="0.45">
      <c r="A91" s="3">
        <v>-4</v>
      </c>
      <c r="B91" s="2">
        <f t="shared" si="24"/>
        <v>41</v>
      </c>
      <c r="C91" s="2">
        <f t="shared" si="23"/>
        <v>36.25</v>
      </c>
      <c r="D91" s="2">
        <f t="shared" si="23"/>
        <v>32</v>
      </c>
      <c r="E91" s="2">
        <f t="shared" si="23"/>
        <v>28.25</v>
      </c>
      <c r="F91" s="2">
        <f t="shared" si="23"/>
        <v>25</v>
      </c>
      <c r="G91" s="2">
        <f t="shared" si="23"/>
        <v>22.25</v>
      </c>
      <c r="H91" s="2">
        <f t="shared" si="23"/>
        <v>20</v>
      </c>
      <c r="I91" s="2">
        <f t="shared" si="23"/>
        <v>18.25</v>
      </c>
      <c r="J91" s="2">
        <f t="shared" si="23"/>
        <v>17</v>
      </c>
      <c r="K91" s="2">
        <f t="shared" si="23"/>
        <v>16.25</v>
      </c>
      <c r="L91" s="2">
        <f t="shared" si="23"/>
        <v>16</v>
      </c>
      <c r="M91" s="2">
        <f t="shared" si="23"/>
        <v>16.25</v>
      </c>
      <c r="N91" s="2">
        <f t="shared" si="23"/>
        <v>17</v>
      </c>
      <c r="O91" s="2">
        <f t="shared" si="23"/>
        <v>18.25</v>
      </c>
      <c r="P91" s="2">
        <f t="shared" si="23"/>
        <v>20</v>
      </c>
      <c r="Q91" s="2">
        <f t="shared" si="23"/>
        <v>22.25</v>
      </c>
      <c r="R91" s="2">
        <f t="shared" si="23"/>
        <v>25</v>
      </c>
      <c r="S91" s="2">
        <f t="shared" si="23"/>
        <v>28.25</v>
      </c>
      <c r="T91" s="2">
        <f t="shared" si="23"/>
        <v>32</v>
      </c>
      <c r="U91" s="2">
        <f t="shared" si="23"/>
        <v>36.25</v>
      </c>
      <c r="V91" s="2">
        <f t="shared" si="23"/>
        <v>41</v>
      </c>
    </row>
    <row r="92" spans="1:22" x14ac:dyDescent="0.45">
      <c r="A92" s="3">
        <v>-3.5</v>
      </c>
      <c r="B92" s="2">
        <f t="shared" si="24"/>
        <v>37.25</v>
      </c>
      <c r="C92" s="2">
        <f t="shared" si="23"/>
        <v>32.5</v>
      </c>
      <c r="D92" s="2">
        <f t="shared" si="23"/>
        <v>28.25</v>
      </c>
      <c r="E92" s="2">
        <f t="shared" si="23"/>
        <v>24.5</v>
      </c>
      <c r="F92" s="2">
        <f t="shared" si="23"/>
        <v>21.25</v>
      </c>
      <c r="G92" s="2">
        <f t="shared" si="23"/>
        <v>18.5</v>
      </c>
      <c r="H92" s="2">
        <f t="shared" si="23"/>
        <v>16.25</v>
      </c>
      <c r="I92" s="2">
        <f t="shared" si="23"/>
        <v>14.5</v>
      </c>
      <c r="J92" s="2">
        <f t="shared" si="23"/>
        <v>13.25</v>
      </c>
      <c r="K92" s="2">
        <f t="shared" si="23"/>
        <v>12.5</v>
      </c>
      <c r="L92" s="2">
        <f t="shared" si="23"/>
        <v>12.25</v>
      </c>
      <c r="M92" s="2">
        <f t="shared" si="23"/>
        <v>12.5</v>
      </c>
      <c r="N92" s="2">
        <f t="shared" si="23"/>
        <v>13.25</v>
      </c>
      <c r="O92" s="2">
        <f t="shared" si="23"/>
        <v>14.5</v>
      </c>
      <c r="P92" s="2">
        <f t="shared" si="23"/>
        <v>16.25</v>
      </c>
      <c r="Q92" s="2">
        <f t="shared" si="23"/>
        <v>18.5</v>
      </c>
      <c r="R92" s="2">
        <f t="shared" si="23"/>
        <v>21.25</v>
      </c>
      <c r="S92" s="2">
        <f t="shared" si="23"/>
        <v>24.5</v>
      </c>
      <c r="T92" s="2">
        <f t="shared" si="23"/>
        <v>28.25</v>
      </c>
      <c r="U92" s="2">
        <f t="shared" si="23"/>
        <v>32.5</v>
      </c>
      <c r="V92" s="2">
        <f t="shared" si="23"/>
        <v>37.25</v>
      </c>
    </row>
    <row r="93" spans="1:22" x14ac:dyDescent="0.45">
      <c r="A93" s="3">
        <v>-3</v>
      </c>
      <c r="B93" s="2">
        <f t="shared" si="24"/>
        <v>34</v>
      </c>
      <c r="C93" s="2">
        <f t="shared" si="23"/>
        <v>29.25</v>
      </c>
      <c r="D93" s="2">
        <f t="shared" si="23"/>
        <v>25</v>
      </c>
      <c r="E93" s="2">
        <f t="shared" si="23"/>
        <v>21.25</v>
      </c>
      <c r="F93" s="2">
        <f t="shared" si="23"/>
        <v>18</v>
      </c>
      <c r="G93" s="2">
        <f t="shared" si="23"/>
        <v>15.25</v>
      </c>
      <c r="H93" s="2">
        <f t="shared" si="23"/>
        <v>13</v>
      </c>
      <c r="I93" s="2">
        <f t="shared" si="23"/>
        <v>11.25</v>
      </c>
      <c r="J93" s="2">
        <f t="shared" si="23"/>
        <v>10</v>
      </c>
      <c r="K93" s="2">
        <f t="shared" si="23"/>
        <v>9.25</v>
      </c>
      <c r="L93" s="2">
        <f t="shared" si="23"/>
        <v>9</v>
      </c>
      <c r="M93" s="2">
        <f t="shared" si="23"/>
        <v>9.25</v>
      </c>
      <c r="N93" s="2">
        <f t="shared" si="23"/>
        <v>10</v>
      </c>
      <c r="O93" s="2">
        <f t="shared" si="23"/>
        <v>11.25</v>
      </c>
      <c r="P93" s="2">
        <f t="shared" si="23"/>
        <v>13</v>
      </c>
      <c r="Q93" s="2">
        <f t="shared" si="23"/>
        <v>15.25</v>
      </c>
      <c r="R93" s="2">
        <f t="shared" si="23"/>
        <v>18</v>
      </c>
      <c r="S93" s="2">
        <f t="shared" si="23"/>
        <v>21.25</v>
      </c>
      <c r="T93" s="2">
        <f t="shared" si="23"/>
        <v>25</v>
      </c>
      <c r="U93" s="2">
        <f t="shared" si="23"/>
        <v>29.25</v>
      </c>
      <c r="V93" s="2">
        <f t="shared" si="23"/>
        <v>34</v>
      </c>
    </row>
    <row r="94" spans="1:22" x14ac:dyDescent="0.45">
      <c r="A94" s="3">
        <v>-2.5</v>
      </c>
      <c r="B94" s="2">
        <f t="shared" si="24"/>
        <v>31.25</v>
      </c>
      <c r="C94" s="2">
        <f t="shared" si="23"/>
        <v>26.5</v>
      </c>
      <c r="D94" s="2">
        <f t="shared" si="23"/>
        <v>22.25</v>
      </c>
      <c r="E94" s="2">
        <f t="shared" si="23"/>
        <v>18.5</v>
      </c>
      <c r="F94" s="2">
        <f t="shared" si="23"/>
        <v>15.25</v>
      </c>
      <c r="G94" s="2">
        <f t="shared" si="23"/>
        <v>12.5</v>
      </c>
      <c r="H94" s="2">
        <f t="shared" si="23"/>
        <v>10.25</v>
      </c>
      <c r="I94" s="2">
        <f t="shared" si="23"/>
        <v>8.5</v>
      </c>
      <c r="J94" s="2">
        <f t="shared" si="23"/>
        <v>7.25</v>
      </c>
      <c r="K94" s="2">
        <f t="shared" si="23"/>
        <v>6.5</v>
      </c>
      <c r="L94" s="2">
        <f t="shared" si="23"/>
        <v>6.25</v>
      </c>
      <c r="M94" s="2">
        <f t="shared" si="23"/>
        <v>6.5</v>
      </c>
      <c r="N94" s="2">
        <f t="shared" si="23"/>
        <v>7.25</v>
      </c>
      <c r="O94" s="2">
        <f t="shared" si="23"/>
        <v>8.5</v>
      </c>
      <c r="P94" s="2">
        <f t="shared" si="23"/>
        <v>10.25</v>
      </c>
      <c r="Q94" s="2">
        <f t="shared" si="23"/>
        <v>12.5</v>
      </c>
      <c r="R94" s="2">
        <f t="shared" si="23"/>
        <v>15.25</v>
      </c>
      <c r="S94" s="2">
        <f t="shared" si="23"/>
        <v>18.5</v>
      </c>
      <c r="T94" s="2">
        <f t="shared" si="23"/>
        <v>22.25</v>
      </c>
      <c r="U94" s="2">
        <f t="shared" si="23"/>
        <v>26.5</v>
      </c>
      <c r="V94" s="2">
        <f t="shared" si="23"/>
        <v>31.25</v>
      </c>
    </row>
    <row r="95" spans="1:22" x14ac:dyDescent="0.45">
      <c r="A95" s="3">
        <v>-2</v>
      </c>
      <c r="B95" s="2">
        <f t="shared" si="24"/>
        <v>29</v>
      </c>
      <c r="C95" s="2">
        <f t="shared" si="23"/>
        <v>24.25</v>
      </c>
      <c r="D95" s="2">
        <f t="shared" si="23"/>
        <v>20</v>
      </c>
      <c r="E95" s="2">
        <f t="shared" si="23"/>
        <v>16.25</v>
      </c>
      <c r="F95" s="2">
        <f t="shared" si="23"/>
        <v>13</v>
      </c>
      <c r="G95" s="2">
        <f t="shared" si="23"/>
        <v>10.25</v>
      </c>
      <c r="H95" s="2">
        <f t="shared" si="23"/>
        <v>8</v>
      </c>
      <c r="I95" s="2">
        <f t="shared" si="23"/>
        <v>6.25</v>
      </c>
      <c r="J95" s="2">
        <f t="shared" si="23"/>
        <v>5</v>
      </c>
      <c r="K95" s="2">
        <f t="shared" si="23"/>
        <v>4.25</v>
      </c>
      <c r="L95" s="2">
        <f t="shared" si="23"/>
        <v>4</v>
      </c>
      <c r="M95" s="2">
        <f t="shared" si="23"/>
        <v>4.25</v>
      </c>
      <c r="N95" s="2">
        <f t="shared" si="23"/>
        <v>5</v>
      </c>
      <c r="O95" s="2">
        <f t="shared" si="23"/>
        <v>6.25</v>
      </c>
      <c r="P95" s="2">
        <f t="shared" si="23"/>
        <v>8</v>
      </c>
      <c r="Q95" s="2">
        <f t="shared" si="23"/>
        <v>10.25</v>
      </c>
      <c r="R95" s="2">
        <f t="shared" si="23"/>
        <v>13</v>
      </c>
      <c r="S95" s="2">
        <f t="shared" si="23"/>
        <v>16.25</v>
      </c>
      <c r="T95" s="2">
        <f t="shared" si="23"/>
        <v>20</v>
      </c>
      <c r="U95" s="2">
        <f t="shared" si="23"/>
        <v>24.25</v>
      </c>
      <c r="V95" s="2">
        <f t="shared" si="23"/>
        <v>29</v>
      </c>
    </row>
    <row r="96" spans="1:22" x14ac:dyDescent="0.45">
      <c r="A96" s="3">
        <v>-1.5</v>
      </c>
      <c r="B96" s="2">
        <f t="shared" si="24"/>
        <v>27.25</v>
      </c>
      <c r="C96" s="2">
        <f t="shared" si="23"/>
        <v>22.5</v>
      </c>
      <c r="D96" s="2">
        <f t="shared" si="23"/>
        <v>18.25</v>
      </c>
      <c r="E96" s="2">
        <f t="shared" si="23"/>
        <v>14.5</v>
      </c>
      <c r="F96" s="2">
        <f t="shared" si="23"/>
        <v>11.25</v>
      </c>
      <c r="G96" s="2">
        <f t="shared" si="23"/>
        <v>8.5</v>
      </c>
      <c r="H96" s="2">
        <f t="shared" si="23"/>
        <v>6.25</v>
      </c>
      <c r="I96" s="2">
        <f t="shared" si="23"/>
        <v>4.5</v>
      </c>
      <c r="J96" s="2">
        <f t="shared" si="23"/>
        <v>3.25</v>
      </c>
      <c r="K96" s="2">
        <f t="shared" si="23"/>
        <v>2.5</v>
      </c>
      <c r="L96" s="2">
        <f t="shared" si="23"/>
        <v>2.25</v>
      </c>
      <c r="M96" s="2">
        <f t="shared" si="23"/>
        <v>2.5</v>
      </c>
      <c r="N96" s="2">
        <f t="shared" si="23"/>
        <v>3.25</v>
      </c>
      <c r="O96" s="2">
        <f t="shared" si="23"/>
        <v>4.5</v>
      </c>
      <c r="P96" s="2">
        <f t="shared" si="23"/>
        <v>6.25</v>
      </c>
      <c r="Q96" s="2">
        <f t="shared" si="23"/>
        <v>8.5</v>
      </c>
      <c r="R96" s="2">
        <f t="shared" si="23"/>
        <v>11.25</v>
      </c>
      <c r="S96" s="2">
        <f t="shared" si="23"/>
        <v>14.5</v>
      </c>
      <c r="T96" s="2">
        <f t="shared" si="23"/>
        <v>18.25</v>
      </c>
      <c r="U96" s="2">
        <f t="shared" si="23"/>
        <v>22.5</v>
      </c>
      <c r="V96" s="2">
        <f t="shared" si="23"/>
        <v>27.25</v>
      </c>
    </row>
    <row r="97" spans="1:22" x14ac:dyDescent="0.45">
      <c r="A97" s="3">
        <v>-1</v>
      </c>
      <c r="B97" s="2">
        <f t="shared" si="24"/>
        <v>26</v>
      </c>
      <c r="C97" s="2">
        <f t="shared" si="23"/>
        <v>21.25</v>
      </c>
      <c r="D97" s="2">
        <f t="shared" si="23"/>
        <v>17</v>
      </c>
      <c r="E97" s="2">
        <f t="shared" si="23"/>
        <v>13.25</v>
      </c>
      <c r="F97" s="2">
        <f t="shared" si="23"/>
        <v>10</v>
      </c>
      <c r="G97" s="2">
        <f t="shared" si="23"/>
        <v>7.25</v>
      </c>
      <c r="H97" s="2">
        <f t="shared" si="23"/>
        <v>5</v>
      </c>
      <c r="I97" s="2">
        <f t="shared" si="23"/>
        <v>3.25</v>
      </c>
      <c r="J97" s="2">
        <f t="shared" si="23"/>
        <v>2</v>
      </c>
      <c r="K97" s="2">
        <f t="shared" si="23"/>
        <v>1.25</v>
      </c>
      <c r="L97" s="2">
        <f t="shared" si="23"/>
        <v>1</v>
      </c>
      <c r="M97" s="2">
        <f t="shared" si="23"/>
        <v>1.25</v>
      </c>
      <c r="N97" s="2">
        <f t="shared" si="23"/>
        <v>2</v>
      </c>
      <c r="O97" s="2">
        <f t="shared" si="23"/>
        <v>3.25</v>
      </c>
      <c r="P97" s="2">
        <f t="shared" si="23"/>
        <v>5</v>
      </c>
      <c r="Q97" s="2">
        <f t="shared" si="23"/>
        <v>7.25</v>
      </c>
      <c r="R97" s="2">
        <f t="shared" si="23"/>
        <v>10</v>
      </c>
      <c r="S97" s="2">
        <f t="shared" si="23"/>
        <v>13.25</v>
      </c>
      <c r="T97" s="2">
        <f t="shared" si="23"/>
        <v>17</v>
      </c>
      <c r="U97" s="2">
        <f t="shared" si="23"/>
        <v>21.25</v>
      </c>
      <c r="V97" s="2">
        <f t="shared" si="23"/>
        <v>26</v>
      </c>
    </row>
    <row r="98" spans="1:22" x14ac:dyDescent="0.45">
      <c r="A98" s="3">
        <v>-0.5</v>
      </c>
      <c r="B98" s="2">
        <f t="shared" si="24"/>
        <v>25.25</v>
      </c>
      <c r="C98" s="2">
        <f t="shared" si="23"/>
        <v>20.5</v>
      </c>
      <c r="D98" s="2">
        <f t="shared" si="23"/>
        <v>16.25</v>
      </c>
      <c r="E98" s="2">
        <f t="shared" si="23"/>
        <v>12.5</v>
      </c>
      <c r="F98" s="2">
        <f t="shared" si="23"/>
        <v>9.25</v>
      </c>
      <c r="G98" s="2">
        <f t="shared" si="23"/>
        <v>6.5</v>
      </c>
      <c r="H98" s="2">
        <f t="shared" si="23"/>
        <v>4.25</v>
      </c>
      <c r="I98" s="2">
        <f t="shared" si="23"/>
        <v>2.5</v>
      </c>
      <c r="J98" s="2">
        <f t="shared" si="23"/>
        <v>1.25</v>
      </c>
      <c r="K98" s="2">
        <f t="shared" si="23"/>
        <v>0.5</v>
      </c>
      <c r="L98" s="2">
        <f t="shared" si="23"/>
        <v>0.25</v>
      </c>
      <c r="M98" s="2">
        <f t="shared" si="23"/>
        <v>0.5</v>
      </c>
      <c r="N98" s="2">
        <f t="shared" si="23"/>
        <v>1.25</v>
      </c>
      <c r="O98" s="2">
        <f t="shared" si="23"/>
        <v>2.5</v>
      </c>
      <c r="P98" s="2">
        <f t="shared" si="23"/>
        <v>4.25</v>
      </c>
      <c r="Q98" s="2">
        <f t="shared" si="23"/>
        <v>6.5</v>
      </c>
      <c r="R98" s="2">
        <f t="shared" si="23"/>
        <v>9.25</v>
      </c>
      <c r="S98" s="2">
        <f t="shared" si="23"/>
        <v>12.5</v>
      </c>
      <c r="T98" s="2">
        <f t="shared" si="23"/>
        <v>16.25</v>
      </c>
      <c r="U98" s="2">
        <f t="shared" si="23"/>
        <v>20.5</v>
      </c>
      <c r="V98" s="2">
        <f t="shared" si="23"/>
        <v>25.25</v>
      </c>
    </row>
    <row r="99" spans="1:22" x14ac:dyDescent="0.45">
      <c r="A99" s="3">
        <v>0</v>
      </c>
      <c r="B99" s="2">
        <f t="shared" si="24"/>
        <v>25</v>
      </c>
      <c r="C99" s="2">
        <f t="shared" si="23"/>
        <v>20.25</v>
      </c>
      <c r="D99" s="2">
        <f t="shared" si="23"/>
        <v>16</v>
      </c>
      <c r="E99" s="2">
        <f t="shared" si="23"/>
        <v>12.25</v>
      </c>
      <c r="F99" s="2">
        <f t="shared" si="23"/>
        <v>9</v>
      </c>
      <c r="G99" s="2">
        <f t="shared" si="23"/>
        <v>6.25</v>
      </c>
      <c r="H99" s="2">
        <f t="shared" si="23"/>
        <v>4</v>
      </c>
      <c r="I99" s="2">
        <f t="shared" si="23"/>
        <v>2.25</v>
      </c>
      <c r="J99" s="2">
        <f t="shared" si="23"/>
        <v>1</v>
      </c>
      <c r="K99" s="2">
        <f t="shared" si="23"/>
        <v>0.25</v>
      </c>
      <c r="L99" s="2">
        <f t="shared" si="23"/>
        <v>0</v>
      </c>
      <c r="M99" s="2">
        <f t="shared" si="23"/>
        <v>0.25</v>
      </c>
      <c r="N99" s="2">
        <f t="shared" si="23"/>
        <v>1</v>
      </c>
      <c r="O99" s="2">
        <f t="shared" si="23"/>
        <v>2.25</v>
      </c>
      <c r="P99" s="2">
        <f t="shared" si="23"/>
        <v>4</v>
      </c>
      <c r="Q99" s="2">
        <f t="shared" si="23"/>
        <v>6.25</v>
      </c>
      <c r="R99" s="2">
        <f t="shared" si="23"/>
        <v>9</v>
      </c>
      <c r="S99" s="2">
        <f t="shared" si="23"/>
        <v>12.25</v>
      </c>
      <c r="T99" s="2">
        <f t="shared" si="23"/>
        <v>16</v>
      </c>
      <c r="U99" s="2">
        <f t="shared" si="23"/>
        <v>20.25</v>
      </c>
      <c r="V99" s="2">
        <f t="shared" si="23"/>
        <v>25</v>
      </c>
    </row>
    <row r="100" spans="1:22" x14ac:dyDescent="0.45">
      <c r="A100" s="3">
        <v>0.5</v>
      </c>
      <c r="B100" s="2">
        <f t="shared" si="24"/>
        <v>25.25</v>
      </c>
      <c r="C100" s="2">
        <f t="shared" si="23"/>
        <v>20.5</v>
      </c>
      <c r="D100" s="2">
        <f t="shared" si="23"/>
        <v>16.25</v>
      </c>
      <c r="E100" s="2">
        <f t="shared" si="23"/>
        <v>12.5</v>
      </c>
      <c r="F100" s="2">
        <f t="shared" si="23"/>
        <v>9.25</v>
      </c>
      <c r="G100" s="2">
        <f t="shared" si="23"/>
        <v>6.5</v>
      </c>
      <c r="H100" s="2">
        <f t="shared" si="23"/>
        <v>4.25</v>
      </c>
      <c r="I100" s="2">
        <f t="shared" si="23"/>
        <v>2.5</v>
      </c>
      <c r="J100" s="2">
        <f t="shared" si="23"/>
        <v>1.25</v>
      </c>
      <c r="K100" s="2">
        <f t="shared" si="23"/>
        <v>0.5</v>
      </c>
      <c r="L100" s="2">
        <f t="shared" si="23"/>
        <v>0.25</v>
      </c>
      <c r="M100" s="2">
        <f t="shared" si="23"/>
        <v>0.5</v>
      </c>
      <c r="N100" s="2">
        <f t="shared" si="23"/>
        <v>1.25</v>
      </c>
      <c r="O100" s="2">
        <f t="shared" si="23"/>
        <v>2.5</v>
      </c>
      <c r="P100" s="2">
        <f t="shared" si="23"/>
        <v>4.25</v>
      </c>
      <c r="Q100" s="2">
        <f t="shared" si="23"/>
        <v>6.5</v>
      </c>
      <c r="R100" s="2">
        <f t="shared" si="23"/>
        <v>9.25</v>
      </c>
      <c r="S100" s="2">
        <f t="shared" si="23"/>
        <v>12.5</v>
      </c>
      <c r="T100" s="2">
        <f t="shared" si="23"/>
        <v>16.25</v>
      </c>
      <c r="U100" s="2">
        <f t="shared" si="23"/>
        <v>20.5</v>
      </c>
      <c r="V100" s="2">
        <f t="shared" si="23"/>
        <v>25.25</v>
      </c>
    </row>
    <row r="101" spans="1:22" x14ac:dyDescent="0.45">
      <c r="A101" s="3">
        <v>1</v>
      </c>
      <c r="B101" s="2">
        <f t="shared" si="24"/>
        <v>26</v>
      </c>
      <c r="C101" s="2">
        <f t="shared" si="23"/>
        <v>21.25</v>
      </c>
      <c r="D101" s="2">
        <f t="shared" si="23"/>
        <v>17</v>
      </c>
      <c r="E101" s="2">
        <f t="shared" si="23"/>
        <v>13.25</v>
      </c>
      <c r="F101" s="2">
        <f t="shared" si="23"/>
        <v>10</v>
      </c>
      <c r="G101" s="2">
        <f t="shared" si="23"/>
        <v>7.25</v>
      </c>
      <c r="H101" s="2">
        <f t="shared" si="23"/>
        <v>5</v>
      </c>
      <c r="I101" s="2">
        <f t="shared" si="23"/>
        <v>3.25</v>
      </c>
      <c r="J101" s="2">
        <f t="shared" si="23"/>
        <v>2</v>
      </c>
      <c r="K101" s="2">
        <f t="shared" si="23"/>
        <v>1.25</v>
      </c>
      <c r="L101" s="2">
        <f t="shared" si="23"/>
        <v>1</v>
      </c>
      <c r="M101" s="2">
        <f t="shared" si="23"/>
        <v>1.25</v>
      </c>
      <c r="N101" s="2">
        <f t="shared" si="23"/>
        <v>2</v>
      </c>
      <c r="O101" s="2">
        <f t="shared" si="23"/>
        <v>3.25</v>
      </c>
      <c r="P101" s="2">
        <f t="shared" si="23"/>
        <v>5</v>
      </c>
      <c r="Q101" s="2">
        <f t="shared" si="23"/>
        <v>7.25</v>
      </c>
      <c r="R101" s="2">
        <f t="shared" ref="R101:V109" si="25">(R$88)^2/($B$111)^2+($A101)^2/($B$112)^2</f>
        <v>10</v>
      </c>
      <c r="S101" s="2">
        <f t="shared" si="25"/>
        <v>13.25</v>
      </c>
      <c r="T101" s="2">
        <f t="shared" si="25"/>
        <v>17</v>
      </c>
      <c r="U101" s="2">
        <f t="shared" si="25"/>
        <v>21.25</v>
      </c>
      <c r="V101" s="2">
        <f t="shared" si="25"/>
        <v>26</v>
      </c>
    </row>
    <row r="102" spans="1:22" x14ac:dyDescent="0.45">
      <c r="A102" s="3">
        <v>1.5</v>
      </c>
      <c r="B102" s="2">
        <f t="shared" si="24"/>
        <v>27.25</v>
      </c>
      <c r="C102" s="2">
        <f t="shared" si="24"/>
        <v>22.5</v>
      </c>
      <c r="D102" s="2">
        <f t="shared" si="24"/>
        <v>18.25</v>
      </c>
      <c r="E102" s="2">
        <f t="shared" si="24"/>
        <v>14.5</v>
      </c>
      <c r="F102" s="2">
        <f t="shared" si="24"/>
        <v>11.25</v>
      </c>
      <c r="G102" s="2">
        <f t="shared" si="24"/>
        <v>8.5</v>
      </c>
      <c r="H102" s="2">
        <f t="shared" si="24"/>
        <v>6.25</v>
      </c>
      <c r="I102" s="2">
        <f t="shared" si="24"/>
        <v>4.5</v>
      </c>
      <c r="J102" s="2">
        <f t="shared" si="24"/>
        <v>3.25</v>
      </c>
      <c r="K102" s="2">
        <f t="shared" si="24"/>
        <v>2.5</v>
      </c>
      <c r="L102" s="2">
        <f t="shared" si="24"/>
        <v>2.25</v>
      </c>
      <c r="M102" s="2">
        <f t="shared" si="24"/>
        <v>2.5</v>
      </c>
      <c r="N102" s="2">
        <f t="shared" si="24"/>
        <v>3.25</v>
      </c>
      <c r="O102" s="2">
        <f t="shared" si="24"/>
        <v>4.5</v>
      </c>
      <c r="P102" s="2">
        <f t="shared" si="24"/>
        <v>6.25</v>
      </c>
      <c r="Q102" s="2">
        <f t="shared" si="24"/>
        <v>8.5</v>
      </c>
      <c r="R102" s="2">
        <f t="shared" si="25"/>
        <v>11.25</v>
      </c>
      <c r="S102" s="2">
        <f t="shared" si="25"/>
        <v>14.5</v>
      </c>
      <c r="T102" s="2">
        <f t="shared" si="25"/>
        <v>18.25</v>
      </c>
      <c r="U102" s="2">
        <f t="shared" si="25"/>
        <v>22.5</v>
      </c>
      <c r="V102" s="2">
        <f t="shared" si="25"/>
        <v>27.25</v>
      </c>
    </row>
    <row r="103" spans="1:22" x14ac:dyDescent="0.45">
      <c r="A103" s="3">
        <v>2</v>
      </c>
      <c r="B103" s="2">
        <f t="shared" si="24"/>
        <v>29</v>
      </c>
      <c r="C103" s="2">
        <f t="shared" si="24"/>
        <v>24.25</v>
      </c>
      <c r="D103" s="2">
        <f t="shared" si="24"/>
        <v>20</v>
      </c>
      <c r="E103" s="2">
        <f t="shared" si="24"/>
        <v>16.25</v>
      </c>
      <c r="F103" s="2">
        <f t="shared" si="24"/>
        <v>13</v>
      </c>
      <c r="G103" s="2">
        <f t="shared" si="24"/>
        <v>10.25</v>
      </c>
      <c r="H103" s="2">
        <f t="shared" si="24"/>
        <v>8</v>
      </c>
      <c r="I103" s="2">
        <f t="shared" si="24"/>
        <v>6.25</v>
      </c>
      <c r="J103" s="2">
        <f t="shared" si="24"/>
        <v>5</v>
      </c>
      <c r="K103" s="2">
        <f t="shared" si="24"/>
        <v>4.25</v>
      </c>
      <c r="L103" s="2">
        <f t="shared" si="24"/>
        <v>4</v>
      </c>
      <c r="M103" s="2">
        <f t="shared" si="24"/>
        <v>4.25</v>
      </c>
      <c r="N103" s="2">
        <f t="shared" si="24"/>
        <v>5</v>
      </c>
      <c r="O103" s="2">
        <f t="shared" si="24"/>
        <v>6.25</v>
      </c>
      <c r="P103" s="2">
        <f t="shared" si="24"/>
        <v>8</v>
      </c>
      <c r="Q103" s="2">
        <f t="shared" si="24"/>
        <v>10.25</v>
      </c>
      <c r="R103" s="2">
        <f t="shared" si="25"/>
        <v>13</v>
      </c>
      <c r="S103" s="2">
        <f t="shared" si="25"/>
        <v>16.25</v>
      </c>
      <c r="T103" s="2">
        <f t="shared" si="25"/>
        <v>20</v>
      </c>
      <c r="U103" s="2">
        <f t="shared" si="25"/>
        <v>24.25</v>
      </c>
      <c r="V103" s="2">
        <f t="shared" si="25"/>
        <v>29</v>
      </c>
    </row>
    <row r="104" spans="1:22" x14ac:dyDescent="0.45">
      <c r="A104" s="3">
        <v>2.5</v>
      </c>
      <c r="B104" s="2">
        <f t="shared" si="24"/>
        <v>31.25</v>
      </c>
      <c r="C104" s="2">
        <f t="shared" si="24"/>
        <v>26.5</v>
      </c>
      <c r="D104" s="2">
        <f t="shared" si="24"/>
        <v>22.25</v>
      </c>
      <c r="E104" s="2">
        <f t="shared" si="24"/>
        <v>18.5</v>
      </c>
      <c r="F104" s="2">
        <f t="shared" si="24"/>
        <v>15.25</v>
      </c>
      <c r="G104" s="2">
        <f t="shared" si="24"/>
        <v>12.5</v>
      </c>
      <c r="H104" s="2">
        <f t="shared" si="24"/>
        <v>10.25</v>
      </c>
      <c r="I104" s="2">
        <f t="shared" si="24"/>
        <v>8.5</v>
      </c>
      <c r="J104" s="2">
        <f t="shared" si="24"/>
        <v>7.25</v>
      </c>
      <c r="K104" s="2">
        <f t="shared" si="24"/>
        <v>6.5</v>
      </c>
      <c r="L104" s="2">
        <f t="shared" si="24"/>
        <v>6.25</v>
      </c>
      <c r="M104" s="2">
        <f t="shared" si="24"/>
        <v>6.5</v>
      </c>
      <c r="N104" s="2">
        <f t="shared" si="24"/>
        <v>7.25</v>
      </c>
      <c r="O104" s="2">
        <f t="shared" si="24"/>
        <v>8.5</v>
      </c>
      <c r="P104" s="2">
        <f t="shared" si="24"/>
        <v>10.25</v>
      </c>
      <c r="Q104" s="2">
        <f t="shared" si="24"/>
        <v>12.5</v>
      </c>
      <c r="R104" s="2">
        <f t="shared" si="25"/>
        <v>15.25</v>
      </c>
      <c r="S104" s="2">
        <f t="shared" si="25"/>
        <v>18.5</v>
      </c>
      <c r="T104" s="2">
        <f t="shared" si="25"/>
        <v>22.25</v>
      </c>
      <c r="U104" s="2">
        <f t="shared" si="25"/>
        <v>26.5</v>
      </c>
      <c r="V104" s="2">
        <f t="shared" si="25"/>
        <v>31.25</v>
      </c>
    </row>
    <row r="105" spans="1:22" x14ac:dyDescent="0.45">
      <c r="A105" s="3">
        <v>3</v>
      </c>
      <c r="B105" s="2">
        <f t="shared" si="24"/>
        <v>34</v>
      </c>
      <c r="C105" s="2">
        <f t="shared" si="24"/>
        <v>29.25</v>
      </c>
      <c r="D105" s="2">
        <f t="shared" si="24"/>
        <v>25</v>
      </c>
      <c r="E105" s="2">
        <f t="shared" si="24"/>
        <v>21.25</v>
      </c>
      <c r="F105" s="2">
        <f t="shared" si="24"/>
        <v>18</v>
      </c>
      <c r="G105" s="2">
        <f t="shared" si="24"/>
        <v>15.25</v>
      </c>
      <c r="H105" s="2">
        <f t="shared" si="24"/>
        <v>13</v>
      </c>
      <c r="I105" s="2">
        <f t="shared" si="24"/>
        <v>11.25</v>
      </c>
      <c r="J105" s="2">
        <f t="shared" si="24"/>
        <v>10</v>
      </c>
      <c r="K105" s="2">
        <f t="shared" si="24"/>
        <v>9.25</v>
      </c>
      <c r="L105" s="2">
        <f t="shared" si="24"/>
        <v>9</v>
      </c>
      <c r="M105" s="2">
        <f t="shared" si="24"/>
        <v>9.25</v>
      </c>
      <c r="N105" s="2">
        <f t="shared" si="24"/>
        <v>10</v>
      </c>
      <c r="O105" s="2">
        <f t="shared" si="24"/>
        <v>11.25</v>
      </c>
      <c r="P105" s="2">
        <f t="shared" si="24"/>
        <v>13</v>
      </c>
      <c r="Q105" s="2">
        <f t="shared" si="24"/>
        <v>15.25</v>
      </c>
      <c r="R105" s="2">
        <f t="shared" si="25"/>
        <v>18</v>
      </c>
      <c r="S105" s="2">
        <f t="shared" si="25"/>
        <v>21.25</v>
      </c>
      <c r="T105" s="2">
        <f t="shared" si="25"/>
        <v>25</v>
      </c>
      <c r="U105" s="2">
        <f t="shared" si="25"/>
        <v>29.25</v>
      </c>
      <c r="V105" s="2">
        <f t="shared" si="25"/>
        <v>34</v>
      </c>
    </row>
    <row r="106" spans="1:22" x14ac:dyDescent="0.45">
      <c r="A106" s="3">
        <v>3.5</v>
      </c>
      <c r="B106" s="2">
        <f t="shared" si="24"/>
        <v>37.25</v>
      </c>
      <c r="C106" s="2">
        <f t="shared" si="24"/>
        <v>32.5</v>
      </c>
      <c r="D106" s="2">
        <f t="shared" si="24"/>
        <v>28.25</v>
      </c>
      <c r="E106" s="2">
        <f t="shared" si="24"/>
        <v>24.5</v>
      </c>
      <c r="F106" s="2">
        <f t="shared" si="24"/>
        <v>21.25</v>
      </c>
      <c r="G106" s="2">
        <f t="shared" si="24"/>
        <v>18.5</v>
      </c>
      <c r="H106" s="2">
        <f t="shared" si="24"/>
        <v>16.25</v>
      </c>
      <c r="I106" s="2">
        <f t="shared" si="24"/>
        <v>14.5</v>
      </c>
      <c r="J106" s="2">
        <f t="shared" si="24"/>
        <v>13.25</v>
      </c>
      <c r="K106" s="2">
        <f t="shared" si="24"/>
        <v>12.5</v>
      </c>
      <c r="L106" s="2">
        <f t="shared" si="24"/>
        <v>12.25</v>
      </c>
      <c r="M106" s="2">
        <f t="shared" si="24"/>
        <v>12.5</v>
      </c>
      <c r="N106" s="2">
        <f t="shared" si="24"/>
        <v>13.25</v>
      </c>
      <c r="O106" s="2">
        <f t="shared" si="24"/>
        <v>14.5</v>
      </c>
      <c r="P106" s="2">
        <f t="shared" si="24"/>
        <v>16.25</v>
      </c>
      <c r="Q106" s="2">
        <f t="shared" si="24"/>
        <v>18.5</v>
      </c>
      <c r="R106" s="2">
        <f t="shared" si="25"/>
        <v>21.25</v>
      </c>
      <c r="S106" s="2">
        <f t="shared" si="25"/>
        <v>24.5</v>
      </c>
      <c r="T106" s="2">
        <f t="shared" si="25"/>
        <v>28.25</v>
      </c>
      <c r="U106" s="2">
        <f t="shared" si="25"/>
        <v>32.5</v>
      </c>
      <c r="V106" s="2">
        <f t="shared" si="25"/>
        <v>37.25</v>
      </c>
    </row>
    <row r="107" spans="1:22" x14ac:dyDescent="0.45">
      <c r="A107" s="3">
        <v>4</v>
      </c>
      <c r="B107" s="2">
        <f t="shared" si="24"/>
        <v>41</v>
      </c>
      <c r="C107" s="2">
        <f t="shared" si="24"/>
        <v>36.25</v>
      </c>
      <c r="D107" s="2">
        <f t="shared" si="24"/>
        <v>32</v>
      </c>
      <c r="E107" s="2">
        <f t="shared" si="24"/>
        <v>28.25</v>
      </c>
      <c r="F107" s="2">
        <f t="shared" si="24"/>
        <v>25</v>
      </c>
      <c r="G107" s="2">
        <f t="shared" si="24"/>
        <v>22.25</v>
      </c>
      <c r="H107" s="2">
        <f t="shared" si="24"/>
        <v>20</v>
      </c>
      <c r="I107" s="2">
        <f t="shared" si="24"/>
        <v>18.25</v>
      </c>
      <c r="J107" s="2">
        <f t="shared" si="24"/>
        <v>17</v>
      </c>
      <c r="K107" s="2">
        <f t="shared" si="24"/>
        <v>16.25</v>
      </c>
      <c r="L107" s="2">
        <f t="shared" si="24"/>
        <v>16</v>
      </c>
      <c r="M107" s="2">
        <f t="shared" si="24"/>
        <v>16.25</v>
      </c>
      <c r="N107" s="2">
        <f t="shared" si="24"/>
        <v>17</v>
      </c>
      <c r="O107" s="2">
        <f t="shared" si="24"/>
        <v>18.25</v>
      </c>
      <c r="P107" s="2">
        <f t="shared" si="24"/>
        <v>20</v>
      </c>
      <c r="Q107" s="2">
        <f t="shared" si="24"/>
        <v>22.25</v>
      </c>
      <c r="R107" s="2">
        <f t="shared" si="25"/>
        <v>25</v>
      </c>
      <c r="S107" s="2">
        <f t="shared" si="25"/>
        <v>28.25</v>
      </c>
      <c r="T107" s="2">
        <f t="shared" si="25"/>
        <v>32</v>
      </c>
      <c r="U107" s="2">
        <f t="shared" si="25"/>
        <v>36.25</v>
      </c>
      <c r="V107" s="2">
        <f t="shared" si="25"/>
        <v>41</v>
      </c>
    </row>
    <row r="108" spans="1:22" x14ac:dyDescent="0.45">
      <c r="A108" s="3">
        <v>4.5</v>
      </c>
      <c r="B108" s="2">
        <f t="shared" si="24"/>
        <v>45.25</v>
      </c>
      <c r="C108" s="2">
        <f t="shared" si="24"/>
        <v>40.5</v>
      </c>
      <c r="D108" s="2">
        <f t="shared" si="24"/>
        <v>36.25</v>
      </c>
      <c r="E108" s="2">
        <f t="shared" si="24"/>
        <v>32.5</v>
      </c>
      <c r="F108" s="2">
        <f t="shared" si="24"/>
        <v>29.25</v>
      </c>
      <c r="G108" s="2">
        <f t="shared" si="24"/>
        <v>26.5</v>
      </c>
      <c r="H108" s="2">
        <f t="shared" si="24"/>
        <v>24.25</v>
      </c>
      <c r="I108" s="2">
        <f t="shared" si="24"/>
        <v>22.5</v>
      </c>
      <c r="J108" s="2">
        <f t="shared" si="24"/>
        <v>21.25</v>
      </c>
      <c r="K108" s="2">
        <f t="shared" si="24"/>
        <v>20.5</v>
      </c>
      <c r="L108" s="2">
        <f t="shared" si="24"/>
        <v>20.25</v>
      </c>
      <c r="M108" s="2">
        <f t="shared" si="24"/>
        <v>20.5</v>
      </c>
      <c r="N108" s="2">
        <f t="shared" si="24"/>
        <v>21.25</v>
      </c>
      <c r="O108" s="2">
        <f t="shared" si="24"/>
        <v>22.5</v>
      </c>
      <c r="P108" s="2">
        <f t="shared" si="24"/>
        <v>24.25</v>
      </c>
      <c r="Q108" s="2">
        <f t="shared" si="24"/>
        <v>26.5</v>
      </c>
      <c r="R108" s="2">
        <f t="shared" si="25"/>
        <v>29.25</v>
      </c>
      <c r="S108" s="2">
        <f t="shared" si="25"/>
        <v>32.5</v>
      </c>
      <c r="T108" s="2">
        <f t="shared" si="25"/>
        <v>36.25</v>
      </c>
      <c r="U108" s="2">
        <f t="shared" si="25"/>
        <v>40.5</v>
      </c>
      <c r="V108" s="2">
        <f t="shared" si="25"/>
        <v>45.25</v>
      </c>
    </row>
    <row r="109" spans="1:22" x14ac:dyDescent="0.45">
      <c r="A109" s="3">
        <v>5</v>
      </c>
      <c r="B109" s="2">
        <f t="shared" si="24"/>
        <v>50</v>
      </c>
      <c r="C109" s="2">
        <f t="shared" si="24"/>
        <v>45.25</v>
      </c>
      <c r="D109" s="2">
        <f t="shared" si="24"/>
        <v>41</v>
      </c>
      <c r="E109" s="2">
        <f t="shared" si="24"/>
        <v>37.25</v>
      </c>
      <c r="F109" s="2">
        <f t="shared" si="24"/>
        <v>34</v>
      </c>
      <c r="G109" s="2">
        <f t="shared" si="24"/>
        <v>31.25</v>
      </c>
      <c r="H109" s="2">
        <f t="shared" si="24"/>
        <v>29</v>
      </c>
      <c r="I109" s="2">
        <f t="shared" si="24"/>
        <v>27.25</v>
      </c>
      <c r="J109" s="2">
        <f t="shared" si="24"/>
        <v>26</v>
      </c>
      <c r="K109" s="2">
        <f t="shared" si="24"/>
        <v>25.25</v>
      </c>
      <c r="L109" s="2">
        <f t="shared" si="24"/>
        <v>25</v>
      </c>
      <c r="M109" s="2">
        <f t="shared" si="24"/>
        <v>25.25</v>
      </c>
      <c r="N109" s="2">
        <f t="shared" si="24"/>
        <v>26</v>
      </c>
      <c r="O109" s="2">
        <f t="shared" si="24"/>
        <v>27.25</v>
      </c>
      <c r="P109" s="2">
        <f t="shared" si="24"/>
        <v>29</v>
      </c>
      <c r="Q109" s="2">
        <f t="shared" si="24"/>
        <v>31.25</v>
      </c>
      <c r="R109" s="2">
        <f t="shared" si="25"/>
        <v>34</v>
      </c>
      <c r="S109" s="2">
        <f t="shared" si="25"/>
        <v>37.25</v>
      </c>
      <c r="T109" s="2">
        <f t="shared" si="25"/>
        <v>41</v>
      </c>
      <c r="U109" s="2">
        <f t="shared" si="25"/>
        <v>45.25</v>
      </c>
      <c r="V109" s="2">
        <f t="shared" si="25"/>
        <v>50</v>
      </c>
    </row>
    <row r="111" spans="1:22" x14ac:dyDescent="0.45">
      <c r="A111" s="3" t="s">
        <v>11</v>
      </c>
      <c r="B111" s="2">
        <v>1</v>
      </c>
    </row>
    <row r="112" spans="1:22" x14ac:dyDescent="0.45">
      <c r="A112" s="3" t="s">
        <v>10</v>
      </c>
      <c r="B112" s="2">
        <v>1</v>
      </c>
    </row>
  </sheetData>
  <pageMargins left="0.7" right="0.7" top="0.75" bottom="0.75" header="0.3" footer="0.3"/>
  <pageSetup paperSize="9" orientation="portrait" r:id="rId1"/>
  <headerFooter differentFirst="1">
    <oddHeader>&amp;C&amp;"Times New Roman,обычный"&amp;12Крамбалев Сергей Дмитриевич, подгр. 1</oddHeader>
    <firstHeader>&amp;C&amp;"Times New Roman,обычный"&amp;12Крамбалев Сергей Дмитриевич, подгр. 1, 03.07.2006г, вар. 10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A55C-AEE1-4651-9649-601A0C7A7785}">
  <dimension ref="A1:V25"/>
  <sheetViews>
    <sheetView zoomScaleNormal="100" workbookViewId="0">
      <selection activeCell="G23" sqref="G23"/>
    </sheetView>
  </sheetViews>
  <sheetFormatPr defaultRowHeight="14.25" x14ac:dyDescent="0.45"/>
  <sheetData>
    <row r="1" spans="1:22" ht="15.4" x14ac:dyDescent="0.45">
      <c r="A1" s="3"/>
      <c r="B1" s="3">
        <v>-5</v>
      </c>
      <c r="C1" s="3">
        <v>-4.5</v>
      </c>
      <c r="D1" s="3">
        <v>-4</v>
      </c>
      <c r="E1" s="3">
        <v>-3.5</v>
      </c>
      <c r="F1" s="3">
        <v>-3</v>
      </c>
      <c r="G1" s="3">
        <v>-2.5</v>
      </c>
      <c r="H1" s="3">
        <v>-2</v>
      </c>
      <c r="I1" s="3">
        <v>-1.5</v>
      </c>
      <c r="J1" s="3">
        <v>-1</v>
      </c>
      <c r="K1" s="3">
        <v>-0.5</v>
      </c>
      <c r="L1" s="3">
        <v>0</v>
      </c>
      <c r="M1" s="3">
        <v>0.5</v>
      </c>
      <c r="N1" s="3">
        <v>1</v>
      </c>
      <c r="O1" s="3">
        <v>1.5</v>
      </c>
      <c r="P1" s="3">
        <v>2</v>
      </c>
      <c r="Q1" s="3">
        <v>2.5</v>
      </c>
      <c r="R1" s="3">
        <v>3</v>
      </c>
      <c r="S1" s="3">
        <v>3.5</v>
      </c>
      <c r="T1" s="3">
        <v>4</v>
      </c>
      <c r="U1" s="3">
        <v>4.5</v>
      </c>
      <c r="V1" s="3">
        <v>5</v>
      </c>
    </row>
    <row r="2" spans="1:22" ht="15.4" x14ac:dyDescent="0.45">
      <c r="A2" s="3">
        <v>-5</v>
      </c>
      <c r="B2" s="2">
        <f>(B$1)^2/($B$24)^2+($A2)^2/($B$25)^2</f>
        <v>102.77777777777777</v>
      </c>
      <c r="C2" s="2">
        <f t="shared" ref="C2:V14" si="0">(C$1)^2/($B$24)^2+($A2)^2/($B$25)^2</f>
        <v>102.25</v>
      </c>
      <c r="D2" s="2">
        <f t="shared" si="0"/>
        <v>101.77777777777777</v>
      </c>
      <c r="E2" s="2">
        <f t="shared" si="0"/>
        <v>101.36111111111111</v>
      </c>
      <c r="F2" s="2">
        <f t="shared" si="0"/>
        <v>101</v>
      </c>
      <c r="G2" s="2">
        <f t="shared" si="0"/>
        <v>100.69444444444444</v>
      </c>
      <c r="H2" s="2">
        <f t="shared" si="0"/>
        <v>100.44444444444444</v>
      </c>
      <c r="I2" s="2">
        <f t="shared" si="0"/>
        <v>100.25</v>
      </c>
      <c r="J2" s="2">
        <f t="shared" si="0"/>
        <v>100.11111111111111</v>
      </c>
      <c r="K2" s="2">
        <f t="shared" si="0"/>
        <v>100.02777777777777</v>
      </c>
      <c r="L2" s="2">
        <f t="shared" si="0"/>
        <v>100</v>
      </c>
      <c r="M2" s="2">
        <f t="shared" si="0"/>
        <v>100.02777777777777</v>
      </c>
      <c r="N2" s="2">
        <f t="shared" si="0"/>
        <v>100.11111111111111</v>
      </c>
      <c r="O2" s="2">
        <f t="shared" si="0"/>
        <v>100.25</v>
      </c>
      <c r="P2" s="2">
        <f t="shared" si="0"/>
        <v>100.44444444444444</v>
      </c>
      <c r="Q2" s="2">
        <f t="shared" si="0"/>
        <v>100.69444444444444</v>
      </c>
      <c r="R2" s="2">
        <f t="shared" si="0"/>
        <v>101</v>
      </c>
      <c r="S2" s="2">
        <f t="shared" si="0"/>
        <v>101.36111111111111</v>
      </c>
      <c r="T2" s="2">
        <f t="shared" si="0"/>
        <v>101.77777777777777</v>
      </c>
      <c r="U2" s="2">
        <f t="shared" si="0"/>
        <v>102.25</v>
      </c>
      <c r="V2" s="2">
        <f t="shared" si="0"/>
        <v>102.77777777777777</v>
      </c>
    </row>
    <row r="3" spans="1:22" ht="15.4" x14ac:dyDescent="0.45">
      <c r="A3" s="3">
        <v>-4.5</v>
      </c>
      <c r="B3" s="2">
        <f t="shared" ref="B3:Q21" si="1">(B$1)^2/($B$24)^2+($A3)^2/($B$25)^2</f>
        <v>83.777777777777771</v>
      </c>
      <c r="C3" s="2">
        <f t="shared" si="0"/>
        <v>83.25</v>
      </c>
      <c r="D3" s="2">
        <f t="shared" si="0"/>
        <v>82.777777777777771</v>
      </c>
      <c r="E3" s="2">
        <f t="shared" si="0"/>
        <v>82.361111111111114</v>
      </c>
      <c r="F3" s="2">
        <f t="shared" si="0"/>
        <v>82</v>
      </c>
      <c r="G3" s="2">
        <f t="shared" si="0"/>
        <v>81.694444444444443</v>
      </c>
      <c r="H3" s="2">
        <f t="shared" si="0"/>
        <v>81.444444444444443</v>
      </c>
      <c r="I3" s="2">
        <f t="shared" si="0"/>
        <v>81.25</v>
      </c>
      <c r="J3" s="2">
        <f t="shared" si="0"/>
        <v>81.111111111111114</v>
      </c>
      <c r="K3" s="2">
        <f t="shared" si="0"/>
        <v>81.027777777777771</v>
      </c>
      <c r="L3" s="2">
        <f t="shared" si="0"/>
        <v>81</v>
      </c>
      <c r="M3" s="2">
        <f t="shared" si="0"/>
        <v>81.027777777777771</v>
      </c>
      <c r="N3" s="2">
        <f t="shared" si="0"/>
        <v>81.111111111111114</v>
      </c>
      <c r="O3" s="2">
        <f t="shared" si="0"/>
        <v>81.25</v>
      </c>
      <c r="P3" s="2">
        <f t="shared" si="0"/>
        <v>81.444444444444443</v>
      </c>
      <c r="Q3" s="2">
        <f t="shared" si="0"/>
        <v>81.694444444444443</v>
      </c>
      <c r="R3" s="2">
        <f t="shared" si="0"/>
        <v>82</v>
      </c>
      <c r="S3" s="2">
        <f t="shared" si="0"/>
        <v>82.361111111111114</v>
      </c>
      <c r="T3" s="2">
        <f t="shared" si="0"/>
        <v>82.777777777777771</v>
      </c>
      <c r="U3" s="2">
        <f t="shared" si="0"/>
        <v>83.25</v>
      </c>
      <c r="V3" s="2">
        <f t="shared" si="0"/>
        <v>83.777777777777771</v>
      </c>
    </row>
    <row r="4" spans="1:22" ht="15.4" x14ac:dyDescent="0.45">
      <c r="A4" s="3">
        <v>-4</v>
      </c>
      <c r="B4" s="2">
        <f t="shared" si="1"/>
        <v>66.777777777777771</v>
      </c>
      <c r="C4" s="2">
        <f t="shared" si="0"/>
        <v>66.25</v>
      </c>
      <c r="D4" s="2">
        <f t="shared" si="0"/>
        <v>65.777777777777771</v>
      </c>
      <c r="E4" s="2">
        <f t="shared" si="0"/>
        <v>65.361111111111114</v>
      </c>
      <c r="F4" s="2">
        <f t="shared" si="0"/>
        <v>65</v>
      </c>
      <c r="G4" s="2">
        <f t="shared" si="0"/>
        <v>64.694444444444443</v>
      </c>
      <c r="H4" s="2">
        <f t="shared" si="0"/>
        <v>64.444444444444443</v>
      </c>
      <c r="I4" s="2">
        <f t="shared" si="0"/>
        <v>64.25</v>
      </c>
      <c r="J4" s="2">
        <f t="shared" si="0"/>
        <v>64.111111111111114</v>
      </c>
      <c r="K4" s="2">
        <f t="shared" si="0"/>
        <v>64.027777777777771</v>
      </c>
      <c r="L4" s="2">
        <f t="shared" si="0"/>
        <v>64</v>
      </c>
      <c r="M4" s="2">
        <f t="shared" si="0"/>
        <v>64.027777777777771</v>
      </c>
      <c r="N4" s="2">
        <f t="shared" si="0"/>
        <v>64.111111111111114</v>
      </c>
      <c r="O4" s="2">
        <f t="shared" si="0"/>
        <v>64.25</v>
      </c>
      <c r="P4" s="2">
        <f t="shared" si="0"/>
        <v>64.444444444444443</v>
      </c>
      <c r="Q4" s="2">
        <f t="shared" si="0"/>
        <v>64.694444444444443</v>
      </c>
      <c r="R4" s="2">
        <f t="shared" si="0"/>
        <v>65</v>
      </c>
      <c r="S4" s="2">
        <f t="shared" si="0"/>
        <v>65.361111111111114</v>
      </c>
      <c r="T4" s="2">
        <f t="shared" si="0"/>
        <v>65.777777777777771</v>
      </c>
      <c r="U4" s="2">
        <f t="shared" si="0"/>
        <v>66.25</v>
      </c>
      <c r="V4" s="2">
        <f t="shared" si="0"/>
        <v>66.777777777777771</v>
      </c>
    </row>
    <row r="5" spans="1:22" ht="15.4" x14ac:dyDescent="0.45">
      <c r="A5" s="3">
        <v>-3.5</v>
      </c>
      <c r="B5" s="2">
        <f t="shared" si="1"/>
        <v>51.777777777777779</v>
      </c>
      <c r="C5" s="2">
        <f t="shared" si="0"/>
        <v>51.25</v>
      </c>
      <c r="D5" s="2">
        <f t="shared" si="0"/>
        <v>50.777777777777779</v>
      </c>
      <c r="E5" s="2">
        <f t="shared" si="0"/>
        <v>50.361111111111114</v>
      </c>
      <c r="F5" s="2">
        <f t="shared" si="0"/>
        <v>50</v>
      </c>
      <c r="G5" s="2">
        <f t="shared" si="0"/>
        <v>49.694444444444443</v>
      </c>
      <c r="H5" s="2">
        <f t="shared" si="0"/>
        <v>49.444444444444443</v>
      </c>
      <c r="I5" s="2">
        <f t="shared" si="0"/>
        <v>49.25</v>
      </c>
      <c r="J5" s="2">
        <f t="shared" si="0"/>
        <v>49.111111111111114</v>
      </c>
      <c r="K5" s="2">
        <f t="shared" si="0"/>
        <v>49.027777777777779</v>
      </c>
      <c r="L5" s="2">
        <f t="shared" si="0"/>
        <v>49</v>
      </c>
      <c r="M5" s="2">
        <f t="shared" si="0"/>
        <v>49.027777777777779</v>
      </c>
      <c r="N5" s="2">
        <f t="shared" si="0"/>
        <v>49.111111111111114</v>
      </c>
      <c r="O5" s="2">
        <f t="shared" si="0"/>
        <v>49.25</v>
      </c>
      <c r="P5" s="2">
        <f t="shared" si="0"/>
        <v>49.444444444444443</v>
      </c>
      <c r="Q5" s="2">
        <f t="shared" si="0"/>
        <v>49.694444444444443</v>
      </c>
      <c r="R5" s="2">
        <f t="shared" si="0"/>
        <v>50</v>
      </c>
      <c r="S5" s="2">
        <f t="shared" si="0"/>
        <v>50.361111111111114</v>
      </c>
      <c r="T5" s="2">
        <f t="shared" si="0"/>
        <v>50.777777777777779</v>
      </c>
      <c r="U5" s="2">
        <f t="shared" si="0"/>
        <v>51.25</v>
      </c>
      <c r="V5" s="2">
        <f t="shared" si="0"/>
        <v>51.777777777777779</v>
      </c>
    </row>
    <row r="6" spans="1:22" ht="15.4" x14ac:dyDescent="0.45">
      <c r="A6" s="3">
        <v>-3</v>
      </c>
      <c r="B6" s="2">
        <f t="shared" si="1"/>
        <v>38.777777777777779</v>
      </c>
      <c r="C6" s="2">
        <f t="shared" si="0"/>
        <v>38.25</v>
      </c>
      <c r="D6" s="2">
        <f t="shared" si="0"/>
        <v>37.777777777777779</v>
      </c>
      <c r="E6" s="2">
        <f t="shared" si="0"/>
        <v>37.361111111111114</v>
      </c>
      <c r="F6" s="2">
        <f t="shared" si="0"/>
        <v>37</v>
      </c>
      <c r="G6" s="2">
        <f t="shared" si="0"/>
        <v>36.694444444444443</v>
      </c>
      <c r="H6" s="2">
        <f t="shared" si="0"/>
        <v>36.444444444444443</v>
      </c>
      <c r="I6" s="2">
        <f t="shared" si="0"/>
        <v>36.25</v>
      </c>
      <c r="J6" s="2">
        <f t="shared" si="0"/>
        <v>36.111111111111114</v>
      </c>
      <c r="K6" s="2">
        <f t="shared" si="0"/>
        <v>36.027777777777779</v>
      </c>
      <c r="L6" s="2">
        <f t="shared" si="0"/>
        <v>36</v>
      </c>
      <c r="M6" s="2">
        <f t="shared" si="0"/>
        <v>36.027777777777779</v>
      </c>
      <c r="N6" s="2">
        <f t="shared" si="0"/>
        <v>36.111111111111114</v>
      </c>
      <c r="O6" s="2">
        <f t="shared" si="0"/>
        <v>36.25</v>
      </c>
      <c r="P6" s="2">
        <f t="shared" si="0"/>
        <v>36.444444444444443</v>
      </c>
      <c r="Q6" s="2">
        <f t="shared" si="0"/>
        <v>36.694444444444443</v>
      </c>
      <c r="R6" s="2">
        <f t="shared" si="0"/>
        <v>37</v>
      </c>
      <c r="S6" s="2">
        <f t="shared" si="0"/>
        <v>37.361111111111114</v>
      </c>
      <c r="T6" s="2">
        <f t="shared" si="0"/>
        <v>37.777777777777779</v>
      </c>
      <c r="U6" s="2">
        <f t="shared" si="0"/>
        <v>38.25</v>
      </c>
      <c r="V6" s="2">
        <f t="shared" si="0"/>
        <v>38.777777777777779</v>
      </c>
    </row>
    <row r="7" spans="1:22" ht="15.4" x14ac:dyDescent="0.45">
      <c r="A7" s="3">
        <v>-2.5</v>
      </c>
      <c r="B7" s="2">
        <f t="shared" si="1"/>
        <v>27.777777777777779</v>
      </c>
      <c r="C7" s="2">
        <f t="shared" si="0"/>
        <v>27.25</v>
      </c>
      <c r="D7" s="2">
        <f t="shared" si="0"/>
        <v>26.777777777777779</v>
      </c>
      <c r="E7" s="2">
        <f t="shared" si="0"/>
        <v>26.361111111111111</v>
      </c>
      <c r="F7" s="2">
        <f t="shared" si="0"/>
        <v>26</v>
      </c>
      <c r="G7" s="2">
        <f t="shared" si="0"/>
        <v>25.694444444444443</v>
      </c>
      <c r="H7" s="2">
        <f t="shared" si="0"/>
        <v>25.444444444444443</v>
      </c>
      <c r="I7" s="2">
        <f t="shared" si="0"/>
        <v>25.25</v>
      </c>
      <c r="J7" s="2">
        <f t="shared" si="0"/>
        <v>25.111111111111111</v>
      </c>
      <c r="K7" s="2">
        <f t="shared" si="0"/>
        <v>25.027777777777779</v>
      </c>
      <c r="L7" s="2">
        <f t="shared" si="0"/>
        <v>25</v>
      </c>
      <c r="M7" s="2">
        <f t="shared" si="0"/>
        <v>25.027777777777779</v>
      </c>
      <c r="N7" s="2">
        <f t="shared" si="0"/>
        <v>25.111111111111111</v>
      </c>
      <c r="O7" s="2">
        <f t="shared" si="0"/>
        <v>25.25</v>
      </c>
      <c r="P7" s="2">
        <f t="shared" si="0"/>
        <v>25.444444444444443</v>
      </c>
      <c r="Q7" s="2">
        <f t="shared" si="0"/>
        <v>25.694444444444443</v>
      </c>
      <c r="R7" s="2">
        <f t="shared" si="0"/>
        <v>26</v>
      </c>
      <c r="S7" s="2">
        <f t="shared" si="0"/>
        <v>26.361111111111111</v>
      </c>
      <c r="T7" s="2">
        <f t="shared" si="0"/>
        <v>26.777777777777779</v>
      </c>
      <c r="U7" s="2">
        <f t="shared" si="0"/>
        <v>27.25</v>
      </c>
      <c r="V7" s="2">
        <f t="shared" si="0"/>
        <v>27.777777777777779</v>
      </c>
    </row>
    <row r="8" spans="1:22" ht="15.4" x14ac:dyDescent="0.45">
      <c r="A8" s="3">
        <v>-2</v>
      </c>
      <c r="B8" s="2">
        <f t="shared" si="1"/>
        <v>18.777777777777779</v>
      </c>
      <c r="C8" s="2">
        <f t="shared" si="0"/>
        <v>18.25</v>
      </c>
      <c r="D8" s="2">
        <f t="shared" si="0"/>
        <v>17.777777777777779</v>
      </c>
      <c r="E8" s="2">
        <f t="shared" si="0"/>
        <v>17.361111111111111</v>
      </c>
      <c r="F8" s="2">
        <f t="shared" si="0"/>
        <v>17</v>
      </c>
      <c r="G8" s="2">
        <f t="shared" si="0"/>
        <v>16.694444444444443</v>
      </c>
      <c r="H8" s="2">
        <f t="shared" si="0"/>
        <v>16.444444444444443</v>
      </c>
      <c r="I8" s="2">
        <f t="shared" si="0"/>
        <v>16.25</v>
      </c>
      <c r="J8" s="2">
        <f t="shared" si="0"/>
        <v>16.111111111111111</v>
      </c>
      <c r="K8" s="2">
        <f t="shared" si="0"/>
        <v>16.027777777777779</v>
      </c>
      <c r="L8" s="2">
        <f t="shared" si="0"/>
        <v>16</v>
      </c>
      <c r="M8" s="2">
        <f t="shared" si="0"/>
        <v>16.027777777777779</v>
      </c>
      <c r="N8" s="2">
        <f t="shared" si="0"/>
        <v>16.111111111111111</v>
      </c>
      <c r="O8" s="2">
        <f t="shared" si="0"/>
        <v>16.25</v>
      </c>
      <c r="P8" s="2">
        <f t="shared" si="0"/>
        <v>16.444444444444443</v>
      </c>
      <c r="Q8" s="2">
        <f t="shared" si="0"/>
        <v>16.694444444444443</v>
      </c>
      <c r="R8" s="2">
        <f t="shared" si="0"/>
        <v>17</v>
      </c>
      <c r="S8" s="2">
        <f t="shared" si="0"/>
        <v>17.361111111111111</v>
      </c>
      <c r="T8" s="2">
        <f t="shared" si="0"/>
        <v>17.777777777777779</v>
      </c>
      <c r="U8" s="2">
        <f t="shared" si="0"/>
        <v>18.25</v>
      </c>
      <c r="V8" s="2">
        <f t="shared" si="0"/>
        <v>18.777777777777779</v>
      </c>
    </row>
    <row r="9" spans="1:22" ht="15.4" x14ac:dyDescent="0.45">
      <c r="A9" s="3">
        <v>-1.5</v>
      </c>
      <c r="B9" s="2">
        <f t="shared" si="1"/>
        <v>11.777777777777779</v>
      </c>
      <c r="C9" s="2">
        <f t="shared" si="0"/>
        <v>11.25</v>
      </c>
      <c r="D9" s="2">
        <f t="shared" si="0"/>
        <v>10.777777777777779</v>
      </c>
      <c r="E9" s="2">
        <f t="shared" si="0"/>
        <v>10.361111111111111</v>
      </c>
      <c r="F9" s="2">
        <f t="shared" si="0"/>
        <v>10</v>
      </c>
      <c r="G9" s="2">
        <f t="shared" si="0"/>
        <v>9.6944444444444446</v>
      </c>
      <c r="H9" s="2">
        <f t="shared" si="0"/>
        <v>9.4444444444444446</v>
      </c>
      <c r="I9" s="2">
        <f t="shared" si="0"/>
        <v>9.25</v>
      </c>
      <c r="J9" s="2">
        <f t="shared" si="0"/>
        <v>9.1111111111111107</v>
      </c>
      <c r="K9" s="2">
        <f t="shared" si="0"/>
        <v>9.0277777777777786</v>
      </c>
      <c r="L9" s="2">
        <f t="shared" si="0"/>
        <v>9</v>
      </c>
      <c r="M9" s="2">
        <f t="shared" si="0"/>
        <v>9.0277777777777786</v>
      </c>
      <c r="N9" s="2">
        <f t="shared" si="0"/>
        <v>9.1111111111111107</v>
      </c>
      <c r="O9" s="2">
        <f t="shared" si="0"/>
        <v>9.25</v>
      </c>
      <c r="P9" s="2">
        <f t="shared" si="0"/>
        <v>9.4444444444444446</v>
      </c>
      <c r="Q9" s="2">
        <f t="shared" si="0"/>
        <v>9.6944444444444446</v>
      </c>
      <c r="R9" s="2">
        <f t="shared" si="0"/>
        <v>10</v>
      </c>
      <c r="S9" s="2">
        <f t="shared" si="0"/>
        <v>10.361111111111111</v>
      </c>
      <c r="T9" s="2">
        <f t="shared" si="0"/>
        <v>10.777777777777779</v>
      </c>
      <c r="U9" s="2">
        <f t="shared" si="0"/>
        <v>11.25</v>
      </c>
      <c r="V9" s="2">
        <f t="shared" si="0"/>
        <v>11.777777777777779</v>
      </c>
    </row>
    <row r="10" spans="1:22" ht="15.4" x14ac:dyDescent="0.45">
      <c r="A10" s="3">
        <v>-1</v>
      </c>
      <c r="B10" s="2">
        <f t="shared" si="1"/>
        <v>6.7777777777777777</v>
      </c>
      <c r="C10" s="2">
        <f t="shared" si="0"/>
        <v>6.25</v>
      </c>
      <c r="D10" s="2">
        <f t="shared" si="0"/>
        <v>5.7777777777777777</v>
      </c>
      <c r="E10" s="2">
        <f t="shared" si="0"/>
        <v>5.3611111111111107</v>
      </c>
      <c r="F10" s="2">
        <f t="shared" si="0"/>
        <v>5</v>
      </c>
      <c r="G10" s="2">
        <f t="shared" si="0"/>
        <v>4.6944444444444446</v>
      </c>
      <c r="H10" s="2">
        <f t="shared" si="0"/>
        <v>4.4444444444444446</v>
      </c>
      <c r="I10" s="2">
        <f t="shared" si="0"/>
        <v>4.25</v>
      </c>
      <c r="J10" s="2">
        <f t="shared" si="0"/>
        <v>4.1111111111111107</v>
      </c>
      <c r="K10" s="2">
        <f t="shared" si="0"/>
        <v>4.0277777777777777</v>
      </c>
      <c r="L10" s="2">
        <f t="shared" si="0"/>
        <v>4</v>
      </c>
      <c r="M10" s="2">
        <f t="shared" si="0"/>
        <v>4.0277777777777777</v>
      </c>
      <c r="N10" s="2">
        <f t="shared" si="0"/>
        <v>4.1111111111111107</v>
      </c>
      <c r="O10" s="2">
        <f t="shared" si="0"/>
        <v>4.25</v>
      </c>
      <c r="P10" s="2">
        <f t="shared" si="0"/>
        <v>4.4444444444444446</v>
      </c>
      <c r="Q10" s="2">
        <f t="shared" si="0"/>
        <v>4.6944444444444446</v>
      </c>
      <c r="R10" s="2">
        <f t="shared" si="0"/>
        <v>5</v>
      </c>
      <c r="S10" s="2">
        <f t="shared" si="0"/>
        <v>5.3611111111111107</v>
      </c>
      <c r="T10" s="2">
        <f t="shared" si="0"/>
        <v>5.7777777777777777</v>
      </c>
      <c r="U10" s="2">
        <f t="shared" si="0"/>
        <v>6.25</v>
      </c>
      <c r="V10" s="2">
        <f t="shared" si="0"/>
        <v>6.7777777777777777</v>
      </c>
    </row>
    <row r="11" spans="1:22" ht="15.4" x14ac:dyDescent="0.45">
      <c r="A11" s="3">
        <v>-0.5</v>
      </c>
      <c r="B11" s="2">
        <f t="shared" si="1"/>
        <v>3.7777777777777777</v>
      </c>
      <c r="C11" s="2">
        <f t="shared" si="0"/>
        <v>3.25</v>
      </c>
      <c r="D11" s="2">
        <f t="shared" si="0"/>
        <v>2.7777777777777777</v>
      </c>
      <c r="E11" s="2">
        <f t="shared" si="0"/>
        <v>2.3611111111111112</v>
      </c>
      <c r="F11" s="2">
        <f t="shared" si="0"/>
        <v>2</v>
      </c>
      <c r="G11" s="2">
        <f t="shared" si="0"/>
        <v>1.6944444444444444</v>
      </c>
      <c r="H11" s="2">
        <f t="shared" si="0"/>
        <v>1.4444444444444444</v>
      </c>
      <c r="I11" s="2">
        <f t="shared" si="0"/>
        <v>1.25</v>
      </c>
      <c r="J11" s="2">
        <f t="shared" si="0"/>
        <v>1.1111111111111112</v>
      </c>
      <c r="K11" s="2">
        <f t="shared" si="0"/>
        <v>1.0277777777777777</v>
      </c>
      <c r="L11" s="2">
        <f t="shared" si="0"/>
        <v>1</v>
      </c>
      <c r="M11" s="2">
        <f t="shared" si="0"/>
        <v>1.0277777777777777</v>
      </c>
      <c r="N11" s="2">
        <f t="shared" si="0"/>
        <v>1.1111111111111112</v>
      </c>
      <c r="O11" s="2">
        <f t="shared" si="0"/>
        <v>1.25</v>
      </c>
      <c r="P11" s="2">
        <f t="shared" si="0"/>
        <v>1.4444444444444444</v>
      </c>
      <c r="Q11" s="2">
        <f t="shared" si="0"/>
        <v>1.6944444444444444</v>
      </c>
      <c r="R11" s="2">
        <f t="shared" si="0"/>
        <v>2</v>
      </c>
      <c r="S11" s="2">
        <f t="shared" si="0"/>
        <v>2.3611111111111112</v>
      </c>
      <c r="T11" s="2">
        <f t="shared" si="0"/>
        <v>2.7777777777777777</v>
      </c>
      <c r="U11" s="2">
        <f t="shared" si="0"/>
        <v>3.25</v>
      </c>
      <c r="V11" s="2">
        <f t="shared" si="0"/>
        <v>3.7777777777777777</v>
      </c>
    </row>
    <row r="12" spans="1:22" ht="15.4" x14ac:dyDescent="0.45">
      <c r="A12" s="3">
        <v>0</v>
      </c>
      <c r="B12" s="2">
        <f t="shared" si="1"/>
        <v>2.7777777777777777</v>
      </c>
      <c r="C12" s="2">
        <f t="shared" si="0"/>
        <v>2.25</v>
      </c>
      <c r="D12" s="2">
        <f t="shared" si="0"/>
        <v>1.7777777777777777</v>
      </c>
      <c r="E12" s="2">
        <f t="shared" si="0"/>
        <v>1.3611111111111112</v>
      </c>
      <c r="F12" s="2">
        <f t="shared" si="0"/>
        <v>1</v>
      </c>
      <c r="G12" s="2">
        <f t="shared" si="0"/>
        <v>0.69444444444444442</v>
      </c>
      <c r="H12" s="2">
        <f t="shared" si="0"/>
        <v>0.44444444444444442</v>
      </c>
      <c r="I12" s="2">
        <f t="shared" si="0"/>
        <v>0.25</v>
      </c>
      <c r="J12" s="2">
        <f t="shared" si="0"/>
        <v>0.1111111111111111</v>
      </c>
      <c r="K12" s="2">
        <f t="shared" si="0"/>
        <v>2.7777777777777776E-2</v>
      </c>
      <c r="L12" s="2">
        <f t="shared" si="0"/>
        <v>0</v>
      </c>
      <c r="M12" s="2">
        <f t="shared" si="0"/>
        <v>2.7777777777777776E-2</v>
      </c>
      <c r="N12" s="2">
        <f t="shared" si="0"/>
        <v>0.1111111111111111</v>
      </c>
      <c r="O12" s="2">
        <f t="shared" si="0"/>
        <v>0.25</v>
      </c>
      <c r="P12" s="2">
        <f t="shared" si="0"/>
        <v>0.44444444444444442</v>
      </c>
      <c r="Q12" s="2">
        <f t="shared" si="0"/>
        <v>0.69444444444444442</v>
      </c>
      <c r="R12" s="2">
        <f t="shared" si="0"/>
        <v>1</v>
      </c>
      <c r="S12" s="2">
        <f t="shared" si="0"/>
        <v>1.3611111111111112</v>
      </c>
      <c r="T12" s="2">
        <f t="shared" si="0"/>
        <v>1.7777777777777777</v>
      </c>
      <c r="U12" s="2">
        <f t="shared" si="0"/>
        <v>2.25</v>
      </c>
      <c r="V12" s="2">
        <f t="shared" si="0"/>
        <v>2.7777777777777777</v>
      </c>
    </row>
    <row r="13" spans="1:22" ht="15.4" x14ac:dyDescent="0.45">
      <c r="A13" s="3">
        <v>0.5</v>
      </c>
      <c r="B13" s="2">
        <f t="shared" si="1"/>
        <v>3.7777777777777777</v>
      </c>
      <c r="C13" s="2">
        <f t="shared" si="0"/>
        <v>3.25</v>
      </c>
      <c r="D13" s="2">
        <f t="shared" si="0"/>
        <v>2.7777777777777777</v>
      </c>
      <c r="E13" s="2">
        <f t="shared" si="0"/>
        <v>2.3611111111111112</v>
      </c>
      <c r="F13" s="2">
        <f t="shared" si="0"/>
        <v>2</v>
      </c>
      <c r="G13" s="2">
        <f t="shared" si="0"/>
        <v>1.6944444444444444</v>
      </c>
      <c r="H13" s="2">
        <f t="shared" si="0"/>
        <v>1.4444444444444444</v>
      </c>
      <c r="I13" s="2">
        <f t="shared" si="0"/>
        <v>1.25</v>
      </c>
      <c r="J13" s="2">
        <f t="shared" si="0"/>
        <v>1.1111111111111112</v>
      </c>
      <c r="K13" s="2">
        <f t="shared" si="0"/>
        <v>1.0277777777777777</v>
      </c>
      <c r="L13" s="2">
        <f t="shared" si="0"/>
        <v>1</v>
      </c>
      <c r="M13" s="2">
        <f t="shared" si="0"/>
        <v>1.0277777777777777</v>
      </c>
      <c r="N13" s="2">
        <f t="shared" si="0"/>
        <v>1.1111111111111112</v>
      </c>
      <c r="O13" s="2">
        <f t="shared" si="0"/>
        <v>1.25</v>
      </c>
      <c r="P13" s="2">
        <f t="shared" si="0"/>
        <v>1.4444444444444444</v>
      </c>
      <c r="Q13" s="2">
        <f t="shared" si="0"/>
        <v>1.6944444444444444</v>
      </c>
      <c r="R13" s="2">
        <f t="shared" si="0"/>
        <v>2</v>
      </c>
      <c r="S13" s="2">
        <f t="shared" si="0"/>
        <v>2.3611111111111112</v>
      </c>
      <c r="T13" s="2">
        <f t="shared" si="0"/>
        <v>2.7777777777777777</v>
      </c>
      <c r="U13" s="2">
        <f t="shared" si="0"/>
        <v>3.25</v>
      </c>
      <c r="V13" s="2">
        <f t="shared" si="0"/>
        <v>3.7777777777777777</v>
      </c>
    </row>
    <row r="14" spans="1:22" ht="15.4" x14ac:dyDescent="0.45">
      <c r="A14" s="3">
        <v>1</v>
      </c>
      <c r="B14" s="2">
        <f t="shared" si="1"/>
        <v>6.7777777777777777</v>
      </c>
      <c r="C14" s="2">
        <f t="shared" si="0"/>
        <v>6.25</v>
      </c>
      <c r="D14" s="2">
        <f t="shared" si="0"/>
        <v>5.7777777777777777</v>
      </c>
      <c r="E14" s="2">
        <f t="shared" si="0"/>
        <v>5.3611111111111107</v>
      </c>
      <c r="F14" s="2">
        <f t="shared" si="0"/>
        <v>5</v>
      </c>
      <c r="G14" s="2">
        <f t="shared" si="0"/>
        <v>4.6944444444444446</v>
      </c>
      <c r="H14" s="2">
        <f t="shared" si="0"/>
        <v>4.4444444444444446</v>
      </c>
      <c r="I14" s="2">
        <f t="shared" si="0"/>
        <v>4.25</v>
      </c>
      <c r="J14" s="2">
        <f t="shared" si="0"/>
        <v>4.1111111111111107</v>
      </c>
      <c r="K14" s="2">
        <f t="shared" si="0"/>
        <v>4.0277777777777777</v>
      </c>
      <c r="L14" s="2">
        <f t="shared" si="0"/>
        <v>4</v>
      </c>
      <c r="M14" s="2">
        <f t="shared" si="0"/>
        <v>4.0277777777777777</v>
      </c>
      <c r="N14" s="2">
        <f t="shared" si="0"/>
        <v>4.1111111111111107</v>
      </c>
      <c r="O14" s="2">
        <f t="shared" si="0"/>
        <v>4.25</v>
      </c>
      <c r="P14" s="2">
        <f t="shared" si="0"/>
        <v>4.4444444444444446</v>
      </c>
      <c r="Q14" s="2">
        <f t="shared" si="0"/>
        <v>4.6944444444444446</v>
      </c>
      <c r="R14" s="2">
        <f t="shared" ref="R14:V21" si="2">(R$1)^2/($B$24)^2+($A14)^2/($B$25)^2</f>
        <v>5</v>
      </c>
      <c r="S14" s="2">
        <f t="shared" si="2"/>
        <v>5.3611111111111107</v>
      </c>
      <c r="T14" s="2">
        <f t="shared" si="2"/>
        <v>5.7777777777777777</v>
      </c>
      <c r="U14" s="2">
        <f t="shared" si="2"/>
        <v>6.25</v>
      </c>
      <c r="V14" s="2">
        <f t="shared" si="2"/>
        <v>6.7777777777777777</v>
      </c>
    </row>
    <row r="15" spans="1:22" ht="15.4" x14ac:dyDescent="0.45">
      <c r="A15" s="3">
        <v>1.5</v>
      </c>
      <c r="B15" s="2">
        <f t="shared" si="1"/>
        <v>11.777777777777779</v>
      </c>
      <c r="C15" s="2">
        <f t="shared" si="1"/>
        <v>11.25</v>
      </c>
      <c r="D15" s="2">
        <f t="shared" si="1"/>
        <v>10.777777777777779</v>
      </c>
      <c r="E15" s="2">
        <f t="shared" si="1"/>
        <v>10.361111111111111</v>
      </c>
      <c r="F15" s="2">
        <f t="shared" si="1"/>
        <v>10</v>
      </c>
      <c r="G15" s="2">
        <f t="shared" si="1"/>
        <v>9.6944444444444446</v>
      </c>
      <c r="H15" s="2">
        <f t="shared" si="1"/>
        <v>9.4444444444444446</v>
      </c>
      <c r="I15" s="2">
        <f t="shared" si="1"/>
        <v>9.25</v>
      </c>
      <c r="J15" s="2">
        <f t="shared" si="1"/>
        <v>9.1111111111111107</v>
      </c>
      <c r="K15" s="2">
        <f t="shared" si="1"/>
        <v>9.0277777777777786</v>
      </c>
      <c r="L15" s="2">
        <f t="shared" si="1"/>
        <v>9</v>
      </c>
      <c r="M15" s="2">
        <f t="shared" si="1"/>
        <v>9.0277777777777786</v>
      </c>
      <c r="N15" s="2">
        <f t="shared" si="1"/>
        <v>9.1111111111111107</v>
      </c>
      <c r="O15" s="2">
        <f t="shared" si="1"/>
        <v>9.25</v>
      </c>
      <c r="P15" s="2">
        <f t="shared" si="1"/>
        <v>9.4444444444444446</v>
      </c>
      <c r="Q15" s="2">
        <f t="shared" si="1"/>
        <v>9.6944444444444446</v>
      </c>
      <c r="R15" s="2">
        <f t="shared" si="2"/>
        <v>10</v>
      </c>
      <c r="S15" s="2">
        <f t="shared" si="2"/>
        <v>10.361111111111111</v>
      </c>
      <c r="T15" s="2">
        <f t="shared" si="2"/>
        <v>10.777777777777779</v>
      </c>
      <c r="U15" s="2">
        <f t="shared" si="2"/>
        <v>11.25</v>
      </c>
      <c r="V15" s="2">
        <f t="shared" si="2"/>
        <v>11.777777777777779</v>
      </c>
    </row>
    <row r="16" spans="1:22" ht="15.4" x14ac:dyDescent="0.45">
      <c r="A16" s="3">
        <v>2</v>
      </c>
      <c r="B16" s="2">
        <f t="shared" si="1"/>
        <v>18.777777777777779</v>
      </c>
      <c r="C16" s="2">
        <f t="shared" si="1"/>
        <v>18.25</v>
      </c>
      <c r="D16" s="2">
        <f t="shared" si="1"/>
        <v>17.777777777777779</v>
      </c>
      <c r="E16" s="2">
        <f t="shared" si="1"/>
        <v>17.361111111111111</v>
      </c>
      <c r="F16" s="2">
        <f t="shared" si="1"/>
        <v>17</v>
      </c>
      <c r="G16" s="2">
        <f t="shared" si="1"/>
        <v>16.694444444444443</v>
      </c>
      <c r="H16" s="2">
        <f t="shared" si="1"/>
        <v>16.444444444444443</v>
      </c>
      <c r="I16" s="2">
        <f t="shared" si="1"/>
        <v>16.25</v>
      </c>
      <c r="J16" s="2">
        <f t="shared" si="1"/>
        <v>16.111111111111111</v>
      </c>
      <c r="K16" s="2">
        <f t="shared" si="1"/>
        <v>16.027777777777779</v>
      </c>
      <c r="L16" s="2">
        <f t="shared" si="1"/>
        <v>16</v>
      </c>
      <c r="M16" s="2">
        <f t="shared" si="1"/>
        <v>16.027777777777779</v>
      </c>
      <c r="N16" s="2">
        <f t="shared" si="1"/>
        <v>16.111111111111111</v>
      </c>
      <c r="O16" s="2">
        <f t="shared" si="1"/>
        <v>16.25</v>
      </c>
      <c r="P16" s="2">
        <f t="shared" si="1"/>
        <v>16.444444444444443</v>
      </c>
      <c r="Q16" s="2">
        <f t="shared" si="1"/>
        <v>16.694444444444443</v>
      </c>
      <c r="R16" s="2">
        <f t="shared" si="2"/>
        <v>17</v>
      </c>
      <c r="S16" s="2">
        <f t="shared" si="2"/>
        <v>17.361111111111111</v>
      </c>
      <c r="T16" s="2">
        <f t="shared" si="2"/>
        <v>17.777777777777779</v>
      </c>
      <c r="U16" s="2">
        <f t="shared" si="2"/>
        <v>18.25</v>
      </c>
      <c r="V16" s="2">
        <f t="shared" si="2"/>
        <v>18.777777777777779</v>
      </c>
    </row>
    <row r="17" spans="1:22" ht="15.4" x14ac:dyDescent="0.45">
      <c r="A17" s="3">
        <v>2.5</v>
      </c>
      <c r="B17" s="2">
        <f t="shared" si="1"/>
        <v>27.777777777777779</v>
      </c>
      <c r="C17" s="2">
        <f t="shared" si="1"/>
        <v>27.25</v>
      </c>
      <c r="D17" s="2">
        <f t="shared" si="1"/>
        <v>26.777777777777779</v>
      </c>
      <c r="E17" s="2">
        <f t="shared" si="1"/>
        <v>26.361111111111111</v>
      </c>
      <c r="F17" s="2">
        <f t="shared" si="1"/>
        <v>26</v>
      </c>
      <c r="G17" s="2">
        <f t="shared" si="1"/>
        <v>25.694444444444443</v>
      </c>
      <c r="H17" s="2">
        <f t="shared" si="1"/>
        <v>25.444444444444443</v>
      </c>
      <c r="I17" s="2">
        <f t="shared" si="1"/>
        <v>25.25</v>
      </c>
      <c r="J17" s="2">
        <f t="shared" si="1"/>
        <v>25.111111111111111</v>
      </c>
      <c r="K17" s="2">
        <f t="shared" si="1"/>
        <v>25.027777777777779</v>
      </c>
      <c r="L17" s="2">
        <f t="shared" si="1"/>
        <v>25</v>
      </c>
      <c r="M17" s="2">
        <f t="shared" si="1"/>
        <v>25.027777777777779</v>
      </c>
      <c r="N17" s="2">
        <f t="shared" si="1"/>
        <v>25.111111111111111</v>
      </c>
      <c r="O17" s="2">
        <f t="shared" si="1"/>
        <v>25.25</v>
      </c>
      <c r="P17" s="2">
        <f t="shared" si="1"/>
        <v>25.444444444444443</v>
      </c>
      <c r="Q17" s="2">
        <f t="shared" si="1"/>
        <v>25.694444444444443</v>
      </c>
      <c r="R17" s="2">
        <f t="shared" si="2"/>
        <v>26</v>
      </c>
      <c r="S17" s="2">
        <f t="shared" si="2"/>
        <v>26.361111111111111</v>
      </c>
      <c r="T17" s="2">
        <f t="shared" si="2"/>
        <v>26.777777777777779</v>
      </c>
      <c r="U17" s="2">
        <f t="shared" si="2"/>
        <v>27.25</v>
      </c>
      <c r="V17" s="2">
        <f t="shared" si="2"/>
        <v>27.777777777777779</v>
      </c>
    </row>
    <row r="18" spans="1:22" ht="15.4" x14ac:dyDescent="0.45">
      <c r="A18" s="3">
        <v>3</v>
      </c>
      <c r="B18" s="2">
        <f t="shared" si="1"/>
        <v>38.777777777777779</v>
      </c>
      <c r="C18" s="2">
        <f t="shared" si="1"/>
        <v>38.25</v>
      </c>
      <c r="D18" s="2">
        <f t="shared" si="1"/>
        <v>37.777777777777779</v>
      </c>
      <c r="E18" s="2">
        <f t="shared" si="1"/>
        <v>37.361111111111114</v>
      </c>
      <c r="F18" s="2">
        <f t="shared" si="1"/>
        <v>37</v>
      </c>
      <c r="G18" s="2">
        <f t="shared" si="1"/>
        <v>36.694444444444443</v>
      </c>
      <c r="H18" s="2">
        <f t="shared" si="1"/>
        <v>36.444444444444443</v>
      </c>
      <c r="I18" s="2">
        <f t="shared" si="1"/>
        <v>36.25</v>
      </c>
      <c r="J18" s="2">
        <f t="shared" si="1"/>
        <v>36.111111111111114</v>
      </c>
      <c r="K18" s="2">
        <f t="shared" si="1"/>
        <v>36.027777777777779</v>
      </c>
      <c r="L18" s="2">
        <f t="shared" si="1"/>
        <v>36</v>
      </c>
      <c r="M18" s="2">
        <f t="shared" si="1"/>
        <v>36.027777777777779</v>
      </c>
      <c r="N18" s="2">
        <f t="shared" si="1"/>
        <v>36.111111111111114</v>
      </c>
      <c r="O18" s="2">
        <f t="shared" si="1"/>
        <v>36.25</v>
      </c>
      <c r="P18" s="2">
        <f t="shared" si="1"/>
        <v>36.444444444444443</v>
      </c>
      <c r="Q18" s="2">
        <f t="shared" si="1"/>
        <v>36.694444444444443</v>
      </c>
      <c r="R18" s="2">
        <f t="shared" si="2"/>
        <v>37</v>
      </c>
      <c r="S18" s="2">
        <f t="shared" si="2"/>
        <v>37.361111111111114</v>
      </c>
      <c r="T18" s="2">
        <f t="shared" si="2"/>
        <v>37.777777777777779</v>
      </c>
      <c r="U18" s="2">
        <f t="shared" si="2"/>
        <v>38.25</v>
      </c>
      <c r="V18" s="2">
        <f t="shared" si="2"/>
        <v>38.777777777777779</v>
      </c>
    </row>
    <row r="19" spans="1:22" ht="15.4" x14ac:dyDescent="0.45">
      <c r="A19" s="3">
        <v>3.5</v>
      </c>
      <c r="B19" s="2">
        <f t="shared" si="1"/>
        <v>51.777777777777779</v>
      </c>
      <c r="C19" s="2">
        <f t="shared" si="1"/>
        <v>51.25</v>
      </c>
      <c r="D19" s="2">
        <f t="shared" si="1"/>
        <v>50.777777777777779</v>
      </c>
      <c r="E19" s="2">
        <f t="shared" si="1"/>
        <v>50.361111111111114</v>
      </c>
      <c r="F19" s="2">
        <f t="shared" si="1"/>
        <v>50</v>
      </c>
      <c r="G19" s="2">
        <f t="shared" si="1"/>
        <v>49.694444444444443</v>
      </c>
      <c r="H19" s="2">
        <f t="shared" si="1"/>
        <v>49.444444444444443</v>
      </c>
      <c r="I19" s="2">
        <f t="shared" si="1"/>
        <v>49.25</v>
      </c>
      <c r="J19" s="2">
        <f t="shared" si="1"/>
        <v>49.111111111111114</v>
      </c>
      <c r="K19" s="2">
        <f t="shared" si="1"/>
        <v>49.027777777777779</v>
      </c>
      <c r="L19" s="2">
        <f t="shared" si="1"/>
        <v>49</v>
      </c>
      <c r="M19" s="2">
        <f t="shared" si="1"/>
        <v>49.027777777777779</v>
      </c>
      <c r="N19" s="2">
        <f t="shared" si="1"/>
        <v>49.111111111111114</v>
      </c>
      <c r="O19" s="2">
        <f t="shared" si="1"/>
        <v>49.25</v>
      </c>
      <c r="P19" s="2">
        <f t="shared" si="1"/>
        <v>49.444444444444443</v>
      </c>
      <c r="Q19" s="2">
        <f t="shared" si="1"/>
        <v>49.694444444444443</v>
      </c>
      <c r="R19" s="2">
        <f t="shared" si="2"/>
        <v>50</v>
      </c>
      <c r="S19" s="2">
        <f t="shared" si="2"/>
        <v>50.361111111111114</v>
      </c>
      <c r="T19" s="2">
        <f t="shared" si="2"/>
        <v>50.777777777777779</v>
      </c>
      <c r="U19" s="2">
        <f t="shared" si="2"/>
        <v>51.25</v>
      </c>
      <c r="V19" s="2">
        <f t="shared" si="2"/>
        <v>51.777777777777779</v>
      </c>
    </row>
    <row r="20" spans="1:22" ht="15.4" x14ac:dyDescent="0.45">
      <c r="A20" s="3">
        <v>4</v>
      </c>
      <c r="B20" s="2">
        <f t="shared" si="1"/>
        <v>66.777777777777771</v>
      </c>
      <c r="C20" s="2">
        <f t="shared" si="1"/>
        <v>66.25</v>
      </c>
      <c r="D20" s="2">
        <f t="shared" si="1"/>
        <v>65.777777777777771</v>
      </c>
      <c r="E20" s="2">
        <f t="shared" si="1"/>
        <v>65.361111111111114</v>
      </c>
      <c r="F20" s="2">
        <f t="shared" si="1"/>
        <v>65</v>
      </c>
      <c r="G20" s="2">
        <f t="shared" si="1"/>
        <v>64.694444444444443</v>
      </c>
      <c r="H20" s="2">
        <f t="shared" si="1"/>
        <v>64.444444444444443</v>
      </c>
      <c r="I20" s="2">
        <f t="shared" si="1"/>
        <v>64.25</v>
      </c>
      <c r="J20" s="2">
        <f t="shared" si="1"/>
        <v>64.111111111111114</v>
      </c>
      <c r="K20" s="2">
        <f t="shared" si="1"/>
        <v>64.027777777777771</v>
      </c>
      <c r="L20" s="2">
        <f t="shared" si="1"/>
        <v>64</v>
      </c>
      <c r="M20" s="2">
        <f t="shared" si="1"/>
        <v>64.027777777777771</v>
      </c>
      <c r="N20" s="2">
        <f t="shared" si="1"/>
        <v>64.111111111111114</v>
      </c>
      <c r="O20" s="2">
        <f t="shared" si="1"/>
        <v>64.25</v>
      </c>
      <c r="P20" s="2">
        <f t="shared" si="1"/>
        <v>64.444444444444443</v>
      </c>
      <c r="Q20" s="2">
        <f t="shared" si="1"/>
        <v>64.694444444444443</v>
      </c>
      <c r="R20" s="2">
        <f t="shared" si="2"/>
        <v>65</v>
      </c>
      <c r="S20" s="2">
        <f t="shared" si="2"/>
        <v>65.361111111111114</v>
      </c>
      <c r="T20" s="2">
        <f t="shared" si="2"/>
        <v>65.777777777777771</v>
      </c>
      <c r="U20" s="2">
        <f t="shared" si="2"/>
        <v>66.25</v>
      </c>
      <c r="V20" s="2">
        <f t="shared" si="2"/>
        <v>66.777777777777771</v>
      </c>
    </row>
    <row r="21" spans="1:22" ht="15.4" x14ac:dyDescent="0.45">
      <c r="A21" s="3">
        <v>4.5</v>
      </c>
      <c r="B21" s="2">
        <f t="shared" si="1"/>
        <v>83.777777777777771</v>
      </c>
      <c r="C21" s="2">
        <f t="shared" si="1"/>
        <v>83.25</v>
      </c>
      <c r="D21" s="2">
        <f t="shared" si="1"/>
        <v>82.777777777777771</v>
      </c>
      <c r="E21" s="2">
        <f t="shared" si="1"/>
        <v>82.361111111111114</v>
      </c>
      <c r="F21" s="2">
        <f t="shared" si="1"/>
        <v>82</v>
      </c>
      <c r="G21" s="2">
        <f t="shared" si="1"/>
        <v>81.694444444444443</v>
      </c>
      <c r="H21" s="2">
        <f t="shared" si="1"/>
        <v>81.444444444444443</v>
      </c>
      <c r="I21" s="2">
        <f t="shared" si="1"/>
        <v>81.25</v>
      </c>
      <c r="J21" s="2">
        <f t="shared" si="1"/>
        <v>81.111111111111114</v>
      </c>
      <c r="K21" s="2">
        <f t="shared" si="1"/>
        <v>81.027777777777771</v>
      </c>
      <c r="L21" s="2">
        <f t="shared" si="1"/>
        <v>81</v>
      </c>
      <c r="M21" s="2">
        <f t="shared" si="1"/>
        <v>81.027777777777771</v>
      </c>
      <c r="N21" s="2">
        <f t="shared" si="1"/>
        <v>81.111111111111114</v>
      </c>
      <c r="O21" s="2">
        <f t="shared" si="1"/>
        <v>81.25</v>
      </c>
      <c r="P21" s="2">
        <f t="shared" si="1"/>
        <v>81.444444444444443</v>
      </c>
      <c r="Q21" s="2">
        <f t="shared" si="1"/>
        <v>81.694444444444443</v>
      </c>
      <c r="R21" s="2">
        <f t="shared" si="2"/>
        <v>82</v>
      </c>
      <c r="S21" s="2">
        <f t="shared" si="2"/>
        <v>82.361111111111114</v>
      </c>
      <c r="T21" s="2">
        <f t="shared" si="2"/>
        <v>82.777777777777771</v>
      </c>
      <c r="U21" s="2">
        <f t="shared" si="2"/>
        <v>83.25</v>
      </c>
      <c r="V21" s="2">
        <f t="shared" si="2"/>
        <v>83.777777777777771</v>
      </c>
    </row>
    <row r="22" spans="1:22" ht="15.4" x14ac:dyDescent="0.45">
      <c r="A22" s="3">
        <v>5</v>
      </c>
      <c r="B22" s="2">
        <f>(B$1)^2/($B$24)^2+($A22)^2/($B$25)^2</f>
        <v>102.77777777777777</v>
      </c>
      <c r="C22" s="2">
        <f t="shared" ref="C22:V22" si="3">(C$1)^2/($B$24)^2+($A22)^2/($B$25)^2</f>
        <v>102.25</v>
      </c>
      <c r="D22" s="2">
        <f t="shared" si="3"/>
        <v>101.77777777777777</v>
      </c>
      <c r="E22" s="2">
        <f t="shared" si="3"/>
        <v>101.36111111111111</v>
      </c>
      <c r="F22" s="2">
        <f t="shared" si="3"/>
        <v>101</v>
      </c>
      <c r="G22" s="2">
        <f t="shared" si="3"/>
        <v>100.69444444444444</v>
      </c>
      <c r="H22" s="2">
        <f t="shared" si="3"/>
        <v>100.44444444444444</v>
      </c>
      <c r="I22" s="2">
        <f t="shared" si="3"/>
        <v>100.25</v>
      </c>
      <c r="J22" s="2">
        <f t="shared" si="3"/>
        <v>100.11111111111111</v>
      </c>
      <c r="K22" s="2">
        <f t="shared" si="3"/>
        <v>100.02777777777777</v>
      </c>
      <c r="L22" s="2">
        <f t="shared" si="3"/>
        <v>100</v>
      </c>
      <c r="M22" s="2">
        <f t="shared" si="3"/>
        <v>100.02777777777777</v>
      </c>
      <c r="N22" s="2">
        <f t="shared" si="3"/>
        <v>100.11111111111111</v>
      </c>
      <c r="O22" s="2">
        <f t="shared" si="3"/>
        <v>100.25</v>
      </c>
      <c r="P22" s="2">
        <f t="shared" si="3"/>
        <v>100.44444444444444</v>
      </c>
      <c r="Q22" s="2">
        <f t="shared" si="3"/>
        <v>100.69444444444444</v>
      </c>
      <c r="R22" s="2">
        <f t="shared" si="3"/>
        <v>101</v>
      </c>
      <c r="S22" s="2">
        <f t="shared" si="3"/>
        <v>101.36111111111111</v>
      </c>
      <c r="T22" s="2">
        <f t="shared" si="3"/>
        <v>101.77777777777777</v>
      </c>
      <c r="U22" s="2">
        <f t="shared" si="3"/>
        <v>102.25</v>
      </c>
      <c r="V22" s="2">
        <f t="shared" si="3"/>
        <v>102.77777777777777</v>
      </c>
    </row>
    <row r="23" spans="1:22" ht="15.4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4" x14ac:dyDescent="0.45">
      <c r="A24" s="3" t="s">
        <v>11</v>
      </c>
      <c r="B24" s="2">
        <v>3</v>
      </c>
      <c r="C24" s="1"/>
      <c r="D24" s="10" t="s">
        <v>13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4" x14ac:dyDescent="0.45">
      <c r="A25" s="3" t="s">
        <v>10</v>
      </c>
      <c r="B25" s="2">
        <v>0.5</v>
      </c>
      <c r="C25" s="1"/>
      <c r="D25" s="10" t="s">
        <v>12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</sheetData>
  <pageMargins left="0.7" right="0.7" top="0.75" bottom="0.75" header="0.3" footer="0.3"/>
  <pageSetup paperSize="9" orientation="portrait" r:id="rId1"/>
  <headerFooter differentFirst="1">
    <firstHeader>&amp;C&amp;"Times New Roman,обычный"&amp;12Крамбалев Сергей Дмитриевич, подгр.1, 03.07.2006г, вар. 10</first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2.1</vt:lpstr>
      <vt:lpstr>Задание 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Krambalev Sergey</dc:creator>
  <cp:lastModifiedBy>Krambalev Sergey</cp:lastModifiedBy>
  <dcterms:created xsi:type="dcterms:W3CDTF">2025-12-17T10:36:24Z</dcterms:created>
  <dcterms:modified xsi:type="dcterms:W3CDTF">2025-12-17T11:38:17Z</dcterms:modified>
</cp:coreProperties>
</file>