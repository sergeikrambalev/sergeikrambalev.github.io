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ZEN\IT_M\lab_2\"/>
    </mc:Choice>
  </mc:AlternateContent>
  <xr:revisionPtr revIDLastSave="0" documentId="13_ncr:1_{F93E0983-C324-43BE-92E0-4ADCB54C7F81}" xr6:coauthVersionLast="47" xr6:coauthVersionMax="47" xr10:uidLastSave="{00000000-0000-0000-0000-000000000000}"/>
  <bookViews>
    <workbookView xWindow="-98" yWindow="-98" windowWidth="23236" windowHeight="13875" activeTab="5" xr2:uid="{15F3AC81-CDA6-46E6-8298-B1AF6039D2F9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3" i="5"/>
  <c r="A8" i="4" a="1"/>
  <c r="A8" i="4" s="1"/>
  <c r="A10" i="3" a="1"/>
  <c r="A10" i="3" s="1"/>
  <c r="A3" i="2" a="1"/>
  <c r="A3" i="2" s="1"/>
  <c r="K9" i="1" a="1"/>
  <c r="K9" i="1" s="1"/>
  <c r="F9" i="1" a="1"/>
  <c r="F9" i="1" s="1"/>
  <c r="A9" i="1" a="1"/>
  <c r="A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<sst xmlns="http://schemas.openxmlformats.org/spreadsheetml/2006/main" count="16" uniqueCount="11">
  <si>
    <t>Матрица A</t>
  </si>
  <si>
    <t>Матрица B</t>
  </si>
  <si>
    <t>Матрица C=A+B</t>
  </si>
  <si>
    <t>Матрица D=A-B</t>
  </si>
  <si>
    <t>Матрица F=k*A</t>
  </si>
  <si>
    <t>k</t>
  </si>
  <si>
    <t>Единичная матрица</t>
  </si>
  <si>
    <t>Матрица C=A*B</t>
  </si>
  <si>
    <t>Матрица B=A^T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</si>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</sst>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DE52-D22B-44BA-88F2-996DAD19C512}">
  <dimension ref="A1:N11"/>
  <sheetViews>
    <sheetView zoomScaleNormal="100" workbookViewId="0">
      <selection activeCell="A13" sqref="A13"/>
    </sheetView>
  </sheetViews>
  <sheetFormatPr defaultRowHeight="15.4" x14ac:dyDescent="0.45"/>
  <cols>
    <col min="1" max="16384" width="9.06640625" style="2"/>
  </cols>
  <sheetData>
    <row r="1" spans="1:14" x14ac:dyDescent="0.45">
      <c r="A1" s="3" t="s">
        <v>0</v>
      </c>
      <c r="F1" s="3" t="s">
        <v>1</v>
      </c>
    </row>
    <row r="3" spans="1:14" x14ac:dyDescent="0.45">
      <c r="A3" s="4">
        <v>5</v>
      </c>
      <c r="B3" s="4">
        <v>6</v>
      </c>
      <c r="C3" s="4">
        <v>7</v>
      </c>
      <c r="D3" s="4">
        <v>2</v>
      </c>
      <c r="F3" s="4">
        <v>1</v>
      </c>
      <c r="G3" s="4">
        <v>3</v>
      </c>
      <c r="H3" s="4">
        <v>1</v>
      </c>
      <c r="I3" s="4">
        <v>1</v>
      </c>
    </row>
    <row r="4" spans="1:14" x14ac:dyDescent="0.45">
      <c r="A4" s="4">
        <v>2</v>
      </c>
      <c r="B4" s="4">
        <v>1</v>
      </c>
      <c r="C4" s="4">
        <v>4</v>
      </c>
      <c r="D4" s="4">
        <v>3</v>
      </c>
      <c r="F4" s="4">
        <v>5</v>
      </c>
      <c r="G4" s="4">
        <v>3</v>
      </c>
      <c r="H4" s="4">
        <v>5</v>
      </c>
      <c r="I4" s="4">
        <v>8</v>
      </c>
    </row>
    <row r="5" spans="1:14" x14ac:dyDescent="0.45">
      <c r="A5" s="4">
        <v>0</v>
      </c>
      <c r="B5" s="4">
        <v>9</v>
      </c>
      <c r="C5" s="4">
        <v>1</v>
      </c>
      <c r="D5" s="4">
        <v>3</v>
      </c>
      <c r="F5" s="4">
        <v>2</v>
      </c>
      <c r="G5" s="4">
        <v>3</v>
      </c>
      <c r="H5" s="4">
        <v>5</v>
      </c>
      <c r="I5" s="4">
        <v>5</v>
      </c>
    </row>
    <row r="7" spans="1:14" x14ac:dyDescent="0.45">
      <c r="A7" s="3" t="s">
        <v>2</v>
      </c>
      <c r="F7" s="3" t="s">
        <v>3</v>
      </c>
      <c r="K7" s="3" t="s">
        <v>4</v>
      </c>
      <c r="M7" s="4" t="s">
        <v>5</v>
      </c>
      <c r="N7" s="4">
        <v>2</v>
      </c>
    </row>
    <row r="9" spans="1:14" x14ac:dyDescent="0.45">
      <c r="A9" s="4" cm="1">
        <f t="array" ref="A9:D11">A3:D5+F3:I5</f>
        <v>6</v>
      </c>
      <c r="B9" s="4">
        <v>9</v>
      </c>
      <c r="C9" s="4">
        <v>8</v>
      </c>
      <c r="D9" s="4">
        <v>3</v>
      </c>
      <c r="F9" s="4" cm="1">
        <f t="array" ref="F9:I11">A3:D5-F3:I5</f>
        <v>4</v>
      </c>
      <c r="G9" s="4">
        <v>3</v>
      </c>
      <c r="H9" s="4">
        <v>6</v>
      </c>
      <c r="I9" s="4">
        <v>1</v>
      </c>
      <c r="K9" s="4" cm="1">
        <f t="array" ref="K9:N11">$N$7*A3:D5</f>
        <v>10</v>
      </c>
      <c r="L9" s="4">
        <v>12</v>
      </c>
      <c r="M9" s="4">
        <v>14</v>
      </c>
      <c r="N9" s="4">
        <v>4</v>
      </c>
    </row>
    <row r="10" spans="1:14" x14ac:dyDescent="0.45">
      <c r="A10" s="4">
        <v>7</v>
      </c>
      <c r="B10" s="4">
        <v>4</v>
      </c>
      <c r="C10" s="4">
        <v>9</v>
      </c>
      <c r="D10" s="4">
        <v>11</v>
      </c>
      <c r="F10" s="4">
        <v>-3</v>
      </c>
      <c r="G10" s="4">
        <v>-2</v>
      </c>
      <c r="H10" s="4">
        <v>-1</v>
      </c>
      <c r="I10" s="4">
        <v>-5</v>
      </c>
      <c r="K10" s="4">
        <v>4</v>
      </c>
      <c r="L10" s="4">
        <v>2</v>
      </c>
      <c r="M10" s="4">
        <v>8</v>
      </c>
      <c r="N10" s="4">
        <v>6</v>
      </c>
    </row>
    <row r="11" spans="1:14" x14ac:dyDescent="0.45">
      <c r="A11" s="4">
        <v>2</v>
      </c>
      <c r="B11" s="4">
        <v>12</v>
      </c>
      <c r="C11" s="4">
        <v>6</v>
      </c>
      <c r="D11" s="4">
        <v>8</v>
      </c>
      <c r="F11" s="4">
        <v>-2</v>
      </c>
      <c r="G11" s="4">
        <v>6</v>
      </c>
      <c r="H11" s="4">
        <v>-4</v>
      </c>
      <c r="I11" s="4">
        <v>-2</v>
      </c>
      <c r="K11" s="4">
        <v>0</v>
      </c>
      <c r="L11" s="4">
        <v>18</v>
      </c>
      <c r="M11" s="4">
        <v>2</v>
      </c>
      <c r="N11" s="4">
        <v>6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640B-8F0E-4827-8DB3-1A7640F8784E}">
  <dimension ref="A1:D6"/>
  <sheetViews>
    <sheetView zoomScaleNormal="100" workbookViewId="0">
      <selection activeCell="A3" sqref="A3:D6"/>
    </sheetView>
  </sheetViews>
  <sheetFormatPr defaultRowHeight="15.4" x14ac:dyDescent="0.45"/>
  <cols>
    <col min="1" max="16384" width="9.06640625" style="2"/>
  </cols>
  <sheetData>
    <row r="1" spans="1:4" x14ac:dyDescent="0.45">
      <c r="A1" s="3" t="s">
        <v>6</v>
      </c>
    </row>
    <row r="3" spans="1:4" x14ac:dyDescent="0.45">
      <c r="A3" s="4" cm="1">
        <f t="array" ref="A3:D6">_xlfn.MUNIT(4)</f>
        <v>1</v>
      </c>
      <c r="B3" s="4">
        <v>0</v>
      </c>
      <c r="C3" s="4">
        <v>0</v>
      </c>
      <c r="D3" s="4">
        <v>0</v>
      </c>
    </row>
    <row r="4" spans="1:4" x14ac:dyDescent="0.45">
      <c r="A4" s="4">
        <v>0</v>
      </c>
      <c r="B4" s="4">
        <v>1</v>
      </c>
      <c r="C4" s="4">
        <v>0</v>
      </c>
      <c r="D4" s="4">
        <v>0</v>
      </c>
    </row>
    <row r="5" spans="1:4" x14ac:dyDescent="0.45">
      <c r="A5" s="4">
        <v>0</v>
      </c>
      <c r="B5" s="4">
        <v>0</v>
      </c>
      <c r="C5" s="4">
        <v>1</v>
      </c>
      <c r="D5" s="4">
        <v>0</v>
      </c>
    </row>
    <row r="6" spans="1:4" x14ac:dyDescent="0.45">
      <c r="A6" s="4">
        <v>0</v>
      </c>
      <c r="B6" s="4">
        <v>0</v>
      </c>
      <c r="C6" s="4">
        <v>0</v>
      </c>
      <c r="D6" s="4">
        <v>1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C70A-1C11-49E5-AD93-6556FC6F84D5}">
  <dimension ref="A1:H13"/>
  <sheetViews>
    <sheetView zoomScaleNormal="100" workbookViewId="0">
      <selection activeCell="E10" sqref="E10"/>
    </sheetView>
  </sheetViews>
  <sheetFormatPr defaultRowHeight="15.4" x14ac:dyDescent="0.45"/>
  <cols>
    <col min="1" max="16384" width="9.06640625" style="2"/>
  </cols>
  <sheetData>
    <row r="1" spans="1:8" x14ac:dyDescent="0.45">
      <c r="A1" s="3" t="s">
        <v>0</v>
      </c>
      <c r="E1" s="3" t="s">
        <v>1</v>
      </c>
    </row>
    <row r="3" spans="1:8" x14ac:dyDescent="0.45">
      <c r="A3" s="4">
        <v>5</v>
      </c>
      <c r="B3" s="4">
        <v>6</v>
      </c>
      <c r="C3" s="4">
        <v>7</v>
      </c>
      <c r="E3" s="4">
        <v>1</v>
      </c>
      <c r="F3" s="4">
        <v>3</v>
      </c>
      <c r="G3" s="4">
        <v>1</v>
      </c>
      <c r="H3" s="4">
        <v>1</v>
      </c>
    </row>
    <row r="4" spans="1:8" x14ac:dyDescent="0.45">
      <c r="A4" s="4">
        <v>2</v>
      </c>
      <c r="B4" s="4">
        <v>1</v>
      </c>
      <c r="C4" s="4">
        <v>4</v>
      </c>
      <c r="E4" s="4">
        <v>5</v>
      </c>
      <c r="F4" s="4">
        <v>3</v>
      </c>
      <c r="G4" s="4">
        <v>5</v>
      </c>
      <c r="H4" s="4">
        <v>8</v>
      </c>
    </row>
    <row r="5" spans="1:8" x14ac:dyDescent="0.45">
      <c r="A5" s="4">
        <v>0</v>
      </c>
      <c r="B5" s="4">
        <v>9</v>
      </c>
      <c r="C5" s="4">
        <v>1</v>
      </c>
      <c r="E5" s="4">
        <v>2</v>
      </c>
      <c r="F5" s="4">
        <v>3</v>
      </c>
      <c r="G5" s="4">
        <v>5</v>
      </c>
      <c r="H5" s="4">
        <v>5</v>
      </c>
    </row>
    <row r="6" spans="1:8" x14ac:dyDescent="0.45">
      <c r="A6" s="4">
        <v>5</v>
      </c>
      <c r="B6" s="4">
        <v>4</v>
      </c>
      <c r="C6" s="4">
        <v>1</v>
      </c>
    </row>
    <row r="8" spans="1:8" x14ac:dyDescent="0.45">
      <c r="A8" s="1" t="s">
        <v>7</v>
      </c>
    </row>
    <row r="10" spans="1:8" x14ac:dyDescent="0.45">
      <c r="A10" s="4" cm="1">
        <f t="array" ref="A10:D13">MMULT(A3:C6,E3:H5)</f>
        <v>49</v>
      </c>
      <c r="B10" s="4">
        <v>54</v>
      </c>
      <c r="C10" s="4">
        <v>70</v>
      </c>
      <c r="D10" s="4">
        <v>88</v>
      </c>
    </row>
    <row r="11" spans="1:8" x14ac:dyDescent="0.45">
      <c r="A11" s="4">
        <v>15</v>
      </c>
      <c r="B11" s="4">
        <v>21</v>
      </c>
      <c r="C11" s="4">
        <v>27</v>
      </c>
      <c r="D11" s="4">
        <v>30</v>
      </c>
    </row>
    <row r="12" spans="1:8" x14ac:dyDescent="0.45">
      <c r="A12" s="4">
        <v>47</v>
      </c>
      <c r="B12" s="4">
        <v>30</v>
      </c>
      <c r="C12" s="4">
        <v>50</v>
      </c>
      <c r="D12" s="4">
        <v>77</v>
      </c>
    </row>
    <row r="13" spans="1:8" x14ac:dyDescent="0.45">
      <c r="A13" s="4">
        <v>27</v>
      </c>
      <c r="B13" s="4">
        <v>30</v>
      </c>
      <c r="C13" s="4">
        <v>30</v>
      </c>
      <c r="D13" s="4">
        <v>42</v>
      </c>
    </row>
  </sheetData>
  <pageMargins left="0.7" right="0.7" top="0.75" bottom="0.75" header="0.3" footer="0.3"/>
  <pageSetup paperSize="9" orientation="portrait" r:id="rId1"/>
  <headerFooter differentFirst="1">
    <oddHeader>&amp;CКрамбалев Сергей Дмитриевич, подгр.1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021B-CFF5-4D35-B1F4-7E9B6D573A74}">
  <dimension ref="A1:D11"/>
  <sheetViews>
    <sheetView zoomScaleNormal="100" workbookViewId="0">
      <selection activeCell="C11" sqref="C11"/>
    </sheetView>
  </sheetViews>
  <sheetFormatPr defaultRowHeight="15.4" x14ac:dyDescent="0.45"/>
  <cols>
    <col min="1" max="16384" width="9.06640625" style="2"/>
  </cols>
  <sheetData>
    <row r="1" spans="1:4" x14ac:dyDescent="0.45">
      <c r="A1" s="3" t="s">
        <v>0</v>
      </c>
    </row>
    <row r="3" spans="1:4" x14ac:dyDescent="0.45">
      <c r="A3" s="4">
        <v>5</v>
      </c>
      <c r="B3" s="4">
        <v>6</v>
      </c>
      <c r="C3" s="4">
        <v>7</v>
      </c>
      <c r="D3" s="4">
        <v>3</v>
      </c>
    </row>
    <row r="4" spans="1:4" x14ac:dyDescent="0.45">
      <c r="A4" s="4">
        <v>2</v>
      </c>
      <c r="B4" s="4">
        <v>1</v>
      </c>
      <c r="C4" s="4">
        <v>4</v>
      </c>
      <c r="D4" s="4">
        <v>2</v>
      </c>
    </row>
    <row r="6" spans="1:4" x14ac:dyDescent="0.45">
      <c r="A6" s="3" t="s">
        <v>8</v>
      </c>
    </row>
    <row r="8" spans="1:4" x14ac:dyDescent="0.45">
      <c r="A8" s="4" cm="1">
        <f t="array" ref="A8:B11">TRANSPOSE(A3:D4)</f>
        <v>5</v>
      </c>
      <c r="B8" s="4">
        <v>2</v>
      </c>
    </row>
    <row r="9" spans="1:4" x14ac:dyDescent="0.45">
      <c r="A9" s="4">
        <v>6</v>
      </c>
      <c r="B9" s="4">
        <v>1</v>
      </c>
    </row>
    <row r="10" spans="1:4" x14ac:dyDescent="0.45">
      <c r="A10" s="4">
        <v>7</v>
      </c>
      <c r="B10" s="4">
        <v>4</v>
      </c>
    </row>
    <row r="11" spans="1:4" x14ac:dyDescent="0.45">
      <c r="A11" s="4">
        <v>3</v>
      </c>
      <c r="B11" s="4">
        <v>2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9AC0-1312-4879-A389-1F0BAFEFD5AB}">
  <dimension ref="A1:E5"/>
  <sheetViews>
    <sheetView zoomScaleNormal="100" workbookViewId="0">
      <selection activeCell="D4" sqref="D4"/>
    </sheetView>
  </sheetViews>
  <sheetFormatPr defaultRowHeight="15.4" x14ac:dyDescent="0.45"/>
  <cols>
    <col min="1" max="16384" width="9.06640625" style="2"/>
  </cols>
  <sheetData>
    <row r="1" spans="1:5" x14ac:dyDescent="0.45">
      <c r="A1" s="3" t="s">
        <v>0</v>
      </c>
      <c r="E1" s="3" t="s">
        <v>9</v>
      </c>
    </row>
    <row r="3" spans="1:5" x14ac:dyDescent="0.45">
      <c r="A3" s="4">
        <v>5</v>
      </c>
      <c r="B3" s="4">
        <v>6</v>
      </c>
      <c r="C3" s="4">
        <v>7</v>
      </c>
      <c r="E3" s="4">
        <f>MDETERM(A3:C5)</f>
        <v>-60.999999999999993</v>
      </c>
    </row>
    <row r="4" spans="1:5" x14ac:dyDescent="0.45">
      <c r="A4" s="4">
        <v>2</v>
      </c>
      <c r="B4" s="4">
        <v>1</v>
      </c>
      <c r="C4" s="4">
        <v>4</v>
      </c>
    </row>
    <row r="5" spans="1:5" x14ac:dyDescent="0.45">
      <c r="A5" s="4">
        <v>0</v>
      </c>
      <c r="B5" s="4">
        <v>9</v>
      </c>
      <c r="C5" s="4">
        <v>1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Дмиртиевич, подгр.1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6172-B7EA-4146-AA93-78993BB10651}">
  <dimension ref="A1:G5"/>
  <sheetViews>
    <sheetView tabSelected="1" zoomScaleNormal="100" workbookViewId="0">
      <selection activeCell="C7" sqref="C7"/>
    </sheetView>
  </sheetViews>
  <sheetFormatPr defaultRowHeight="15.4" x14ac:dyDescent="0.45"/>
  <cols>
    <col min="1" max="16384" width="9.06640625" style="2"/>
  </cols>
  <sheetData>
    <row r="1" spans="1:7" x14ac:dyDescent="0.45">
      <c r="A1" s="3" t="s">
        <v>0</v>
      </c>
      <c r="E1" s="3" t="s">
        <v>10</v>
      </c>
    </row>
    <row r="3" spans="1:7" x14ac:dyDescent="0.45">
      <c r="A3" s="4">
        <v>4</v>
      </c>
      <c r="B3" s="4">
        <v>6</v>
      </c>
      <c r="C3" s="4">
        <v>7</v>
      </c>
      <c r="E3" s="4" cm="1">
        <f t="array" ref="E3:G5">MINVERSE(A3:C5)</f>
        <v>-0.55000000000000004</v>
      </c>
      <c r="F3" s="4">
        <v>0.75</v>
      </c>
      <c r="G3" s="4">
        <v>0.85000000000000009</v>
      </c>
    </row>
    <row r="4" spans="1:7" x14ac:dyDescent="0.45">
      <c r="A4" s="4">
        <v>2</v>
      </c>
      <c r="B4" s="4">
        <v>1</v>
      </c>
      <c r="C4" s="4">
        <v>4</v>
      </c>
      <c r="E4" s="4">
        <v>0.3</v>
      </c>
      <c r="F4" s="4">
        <v>-0.5</v>
      </c>
      <c r="G4" s="4">
        <v>-0.1</v>
      </c>
    </row>
    <row r="5" spans="1:7" x14ac:dyDescent="0.45">
      <c r="A5" s="4">
        <v>2</v>
      </c>
      <c r="B5" s="4">
        <v>3</v>
      </c>
      <c r="C5" s="4">
        <v>1</v>
      </c>
      <c r="E5" s="4">
        <v>0.2</v>
      </c>
      <c r="F5" s="4">
        <v>0</v>
      </c>
      <c r="G5" s="4">
        <v>-0.4</v>
      </c>
    </row>
  </sheetData>
  <pageMargins left="0.7" right="0.7" top="0.75" bottom="0.75" header="0.3" footer="0.3"/>
  <pageSetup paperSize="9" orientation="portrait" r:id="rId1"/>
  <headerFooter>
    <oddHeader>&amp;C&amp;"Times New Roman,обычный"&amp;12Крамбалев Сергей Дмитриевич, подгр.1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Krambalev Sergey</dc:creator>
  <cp:lastModifiedBy>Krambalev Sergey</cp:lastModifiedBy>
  <dcterms:created xsi:type="dcterms:W3CDTF">2025-12-18T10:13:19Z</dcterms:created>
  <dcterms:modified xsi:type="dcterms:W3CDTF">2025-12-18T10:40:47Z</dcterms:modified>
</cp:coreProperties>
</file>