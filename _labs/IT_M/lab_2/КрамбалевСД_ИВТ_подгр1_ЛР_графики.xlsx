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ERZEN\IT_M\lab_2\"/>
    </mc:Choice>
  </mc:AlternateContent>
  <xr:revisionPtr revIDLastSave="0" documentId="13_ncr:1_{3842B8CF-777F-406D-A018-EDCA89BBBBF0}" xr6:coauthVersionLast="47" xr6:coauthVersionMax="47" xr10:uidLastSave="{00000000-0000-0000-0000-000000000000}"/>
  <bookViews>
    <workbookView xWindow="-98" yWindow="-98" windowWidth="23236" windowHeight="13875" xr2:uid="{10702CFB-3BE0-4926-BFDE-0F6282C60904}"/>
  </bookViews>
  <sheets>
    <sheet name="Задание 1" sheetId="1" r:id="rId1"/>
    <sheet name="Задание 2" sheetId="2" r:id="rId2"/>
    <sheet name="Задание 3" sheetId="3" r:id="rId3"/>
    <sheet name="Задание 3 + коэф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C12" i="4"/>
  <c r="D12" i="4"/>
  <c r="E12" i="4"/>
  <c r="F12" i="4"/>
  <c r="G12" i="4"/>
  <c r="H12" i="4"/>
  <c r="I12" i="4"/>
  <c r="J12" i="4"/>
  <c r="K12" i="4"/>
  <c r="L12" i="4"/>
  <c r="B3" i="4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B10" i="4"/>
  <c r="C10" i="4"/>
  <c r="D10" i="4"/>
  <c r="E10" i="4"/>
  <c r="F10" i="4"/>
  <c r="G10" i="4"/>
  <c r="H10" i="4"/>
  <c r="I10" i="4"/>
  <c r="J10" i="4"/>
  <c r="K10" i="4"/>
  <c r="L10" i="4"/>
  <c r="B11" i="4"/>
  <c r="C11" i="4"/>
  <c r="D11" i="4"/>
  <c r="E11" i="4"/>
  <c r="F11" i="4"/>
  <c r="G11" i="4"/>
  <c r="H11" i="4"/>
  <c r="I11" i="4"/>
  <c r="J11" i="4"/>
  <c r="K11" i="4"/>
  <c r="L11" i="4"/>
  <c r="L2" i="4"/>
  <c r="C2" i="4"/>
  <c r="D2" i="4"/>
  <c r="E2" i="4"/>
  <c r="F2" i="4"/>
  <c r="G2" i="4"/>
  <c r="H2" i="4"/>
  <c r="I2" i="4"/>
  <c r="J2" i="4"/>
  <c r="K2" i="4"/>
  <c r="B2" i="4"/>
  <c r="B3" i="3"/>
  <c r="C3" i="3"/>
  <c r="D3" i="3"/>
  <c r="E3" i="3"/>
  <c r="F3" i="3"/>
  <c r="G3" i="3"/>
  <c r="H3" i="3"/>
  <c r="I3" i="3"/>
  <c r="J3" i="3"/>
  <c r="K3" i="3"/>
  <c r="L3" i="3"/>
  <c r="B4" i="3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B6" i="3"/>
  <c r="C6" i="3"/>
  <c r="D6" i="3"/>
  <c r="E6" i="3"/>
  <c r="F6" i="3"/>
  <c r="G6" i="3"/>
  <c r="H6" i="3"/>
  <c r="I6" i="3"/>
  <c r="J6" i="3"/>
  <c r="K6" i="3"/>
  <c r="L6" i="3"/>
  <c r="B7" i="3"/>
  <c r="C7" i="3"/>
  <c r="D7" i="3"/>
  <c r="E7" i="3"/>
  <c r="F7" i="3"/>
  <c r="G7" i="3"/>
  <c r="H7" i="3"/>
  <c r="I7" i="3"/>
  <c r="J7" i="3"/>
  <c r="K7" i="3"/>
  <c r="L7" i="3"/>
  <c r="B8" i="3"/>
  <c r="C8" i="3"/>
  <c r="D8" i="3"/>
  <c r="E8" i="3"/>
  <c r="F8" i="3"/>
  <c r="G8" i="3"/>
  <c r="H8" i="3"/>
  <c r="I8" i="3"/>
  <c r="J8" i="3"/>
  <c r="K8" i="3"/>
  <c r="L8" i="3"/>
  <c r="B9" i="3"/>
  <c r="C9" i="3"/>
  <c r="D9" i="3"/>
  <c r="E9" i="3"/>
  <c r="F9" i="3"/>
  <c r="G9" i="3"/>
  <c r="H9" i="3"/>
  <c r="I9" i="3"/>
  <c r="J9" i="3"/>
  <c r="K9" i="3"/>
  <c r="L9" i="3"/>
  <c r="B10" i="3"/>
  <c r="C10" i="3"/>
  <c r="D10" i="3"/>
  <c r="E10" i="3"/>
  <c r="F10" i="3"/>
  <c r="G10" i="3"/>
  <c r="H10" i="3"/>
  <c r="I10" i="3"/>
  <c r="J10" i="3"/>
  <c r="K10" i="3"/>
  <c r="L10" i="3"/>
  <c r="B11" i="3"/>
  <c r="C11" i="3"/>
  <c r="D11" i="3"/>
  <c r="E11" i="3"/>
  <c r="F11" i="3"/>
  <c r="G11" i="3"/>
  <c r="H11" i="3"/>
  <c r="I11" i="3"/>
  <c r="J11" i="3"/>
  <c r="K11" i="3"/>
  <c r="L11" i="3"/>
  <c r="B12" i="3"/>
  <c r="C12" i="3"/>
  <c r="D12" i="3"/>
  <c r="E12" i="3"/>
  <c r="F12" i="3"/>
  <c r="G12" i="3"/>
  <c r="H12" i="3"/>
  <c r="I12" i="3"/>
  <c r="J12" i="3"/>
  <c r="K12" i="3"/>
  <c r="L12" i="3"/>
  <c r="C2" i="3"/>
  <c r="D2" i="3"/>
  <c r="E2" i="3"/>
  <c r="F2" i="3"/>
  <c r="G2" i="3"/>
  <c r="H2" i="3"/>
  <c r="I2" i="3"/>
  <c r="J2" i="3"/>
  <c r="K2" i="3"/>
  <c r="L2" i="3"/>
  <c r="B2" i="3"/>
  <c r="C95" i="2"/>
  <c r="D95" i="2"/>
  <c r="E95" i="2"/>
  <c r="F95" i="2"/>
  <c r="G95" i="2"/>
  <c r="H95" i="2"/>
  <c r="I95" i="2"/>
  <c r="J95" i="2"/>
  <c r="B95" i="2"/>
  <c r="B77" i="2"/>
  <c r="C77" i="2"/>
  <c r="D77" i="2"/>
  <c r="E77" i="2"/>
  <c r="F77" i="2"/>
  <c r="G77" i="2"/>
  <c r="H77" i="2"/>
  <c r="I77" i="2"/>
  <c r="J77" i="2"/>
  <c r="C58" i="2"/>
  <c r="D58" i="2"/>
  <c r="E58" i="2"/>
  <c r="F58" i="2"/>
  <c r="G58" i="2"/>
  <c r="H58" i="2"/>
  <c r="J58" i="2"/>
  <c r="K58" i="2"/>
  <c r="L58" i="2"/>
  <c r="M58" i="2"/>
  <c r="N58" i="2"/>
  <c r="O58" i="2"/>
  <c r="P58" i="2"/>
  <c r="B58" i="2"/>
  <c r="C40" i="2"/>
  <c r="D40" i="2"/>
  <c r="E40" i="2"/>
  <c r="F40" i="2"/>
  <c r="G40" i="2"/>
  <c r="H40" i="2"/>
  <c r="I40" i="2"/>
  <c r="J40" i="2"/>
  <c r="B40" i="2"/>
  <c r="C21" i="2"/>
  <c r="D21" i="2"/>
  <c r="E21" i="2"/>
  <c r="F21" i="2"/>
  <c r="G21" i="2"/>
  <c r="H21" i="2"/>
  <c r="B21" i="2"/>
  <c r="C2" i="2"/>
  <c r="D2" i="2"/>
  <c r="E2" i="2"/>
  <c r="F2" i="2"/>
  <c r="G2" i="2"/>
  <c r="H2" i="2"/>
  <c r="B2" i="2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<sst xmlns="http://schemas.openxmlformats.org/spreadsheetml/2006/main" count="18" uniqueCount="5">
  <si>
    <t>k</t>
  </si>
  <si>
    <t>b</t>
  </si>
  <si>
    <t>x</t>
  </si>
  <si>
    <t>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</si>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</sst>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y=kx+b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>
                    <a:alpha val="98000"/>
                  </a:srgbClr>
                </a:solidFill>
              </a:ln>
              <a:effectLst/>
            </c:spPr>
          </c:marker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-3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9-40DD-BB0A-77CE2D730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37712"/>
        <c:axId val="537738672"/>
      </c:scatterChart>
      <c:valAx>
        <c:axId val="53773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166316710411202"/>
              <c:y val="0.57037037037037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>
                <a:alpha val="96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37738672"/>
        <c:crosses val="autoZero"/>
        <c:crossBetween val="midCat"/>
      </c:valAx>
      <c:valAx>
        <c:axId val="5377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055555555555556"/>
              <c:y val="0.1282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3773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</a:t>
            </a:r>
            <a:r>
              <a:rPr lang="ru-RU"/>
              <a:t>=2</a:t>
            </a:r>
            <a:r>
              <a:rPr lang="en-US"/>
              <a:t>^x+3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2'!$A$2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2'!$B$1:$H$1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2'!$B$2:$H$2</c:f>
              <c:numCache>
                <c:formatCode>General</c:formatCode>
                <c:ptCount val="7"/>
                <c:pt idx="0">
                  <c:v>3.125</c:v>
                </c:pt>
                <c:pt idx="1">
                  <c:v>3.25</c:v>
                </c:pt>
                <c:pt idx="2">
                  <c:v>3.5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9F-4663-B54C-B8C472E54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89072"/>
        <c:axId val="1939846592"/>
      </c:scatterChart>
      <c:valAx>
        <c:axId val="19363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212839020122485"/>
              <c:y val="0.68682852143482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39846592"/>
        <c:crosses val="autoZero"/>
        <c:crossBetween val="midCat"/>
      </c:valAx>
      <c:valAx>
        <c:axId val="19398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888888888888886"/>
              <c:y val="0.12711030912802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363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y=sqrt(x)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2'!$A$21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2'!$B$20:$H$20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</c:numCache>
            </c:numRef>
          </c:xVal>
          <c:yVal>
            <c:numRef>
              <c:f>'Задание 2'!$B$21:$H$21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37-4ECC-BA2E-E1B075E23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973760"/>
        <c:axId val="626970880"/>
      </c:scatterChart>
      <c:valAx>
        <c:axId val="6269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799518810148708"/>
              <c:y val="0.68219889180519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26970880"/>
        <c:crosses val="autoZero"/>
        <c:crossBetween val="midCat"/>
      </c:valAx>
      <c:valAx>
        <c:axId val="6269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3333333333333333"/>
              <c:y val="0.12711030912802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2697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y=7-|x|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2'!$A$40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2'!$B$39:$J$39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xVal>
          <c:yVal>
            <c:numRef>
              <c:f>'Задание 2'!$B$40:$J$40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07-44DC-A690-64B0F977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44240"/>
        <c:axId val="614644720"/>
      </c:scatterChart>
      <c:valAx>
        <c:axId val="61464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/>
                  <a:t>x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94490616797900284"/>
              <c:y val="0.68219889180519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14644720"/>
        <c:crosses val="autoZero"/>
        <c:crossBetween val="midCat"/>
      </c:valAx>
      <c:valAx>
        <c:axId val="6146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055555555555556"/>
              <c:y val="0.11785104986876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1464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y=1/x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2'!$A$58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2'!$B$57:$P$57</c:f>
              <c:numCache>
                <c:formatCode>General</c:formatCode>
                <c:ptCount val="15"/>
                <c:pt idx="0">
                  <c:v>-1.75</c:v>
                </c:pt>
                <c:pt idx="1">
                  <c:v>-1.5</c:v>
                </c:pt>
                <c:pt idx="2">
                  <c:v>-1.25</c:v>
                </c:pt>
                <c:pt idx="3">
                  <c:v>-1</c:v>
                </c:pt>
                <c:pt idx="4">
                  <c:v>-0.75</c:v>
                </c:pt>
                <c:pt idx="5">
                  <c:v>-0.5</c:v>
                </c:pt>
                <c:pt idx="6">
                  <c:v>-0.25</c:v>
                </c:pt>
                <c:pt idx="7">
                  <c:v>0</c:v>
                </c:pt>
                <c:pt idx="8">
                  <c:v>0.25</c:v>
                </c:pt>
                <c:pt idx="9">
                  <c:v>0.5</c:v>
                </c:pt>
                <c:pt idx="10">
                  <c:v>0.75</c:v>
                </c:pt>
                <c:pt idx="11">
                  <c:v>1</c:v>
                </c:pt>
                <c:pt idx="12">
                  <c:v>1.25</c:v>
                </c:pt>
                <c:pt idx="13">
                  <c:v>1.5</c:v>
                </c:pt>
                <c:pt idx="14">
                  <c:v>1.75</c:v>
                </c:pt>
              </c:numCache>
            </c:numRef>
          </c:xVal>
          <c:yVal>
            <c:numRef>
              <c:f>'Задание 2'!$B$58:$P$58</c:f>
              <c:numCache>
                <c:formatCode>General</c:formatCode>
                <c:ptCount val="15"/>
                <c:pt idx="0">
                  <c:v>-0.5714285714285714</c:v>
                </c:pt>
                <c:pt idx="1">
                  <c:v>-0.66666666666666663</c:v>
                </c:pt>
                <c:pt idx="2">
                  <c:v>-0.8</c:v>
                </c:pt>
                <c:pt idx="3">
                  <c:v>-1</c:v>
                </c:pt>
                <c:pt idx="4">
                  <c:v>-1.3333333333333333</c:v>
                </c:pt>
                <c:pt idx="5">
                  <c:v>-2</c:v>
                </c:pt>
                <c:pt idx="6">
                  <c:v>-4</c:v>
                </c:pt>
                <c:pt idx="8">
                  <c:v>4</c:v>
                </c:pt>
                <c:pt idx="9">
                  <c:v>2</c:v>
                </c:pt>
                <c:pt idx="10">
                  <c:v>1.3333333333333333</c:v>
                </c:pt>
                <c:pt idx="11">
                  <c:v>1</c:v>
                </c:pt>
                <c:pt idx="12">
                  <c:v>0.8</c:v>
                </c:pt>
                <c:pt idx="13">
                  <c:v>0.66666666666666663</c:v>
                </c:pt>
                <c:pt idx="14">
                  <c:v>0.5714285714285714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B1-475C-BC93-C924ACF3D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93584"/>
        <c:axId val="1068092624"/>
      </c:scatterChart>
      <c:valAx>
        <c:axId val="106809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589916885389325"/>
              <c:y val="0.42497666958296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68092624"/>
        <c:crosses val="autoZero"/>
        <c:crossBetween val="midCat"/>
      </c:valAx>
      <c:valAx>
        <c:axId val="10680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53055555555555556"/>
              <c:y val="0.13509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6809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y=ln(x)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2'!$A$77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2'!$B$76:$J$76</c:f>
              <c:numCache>
                <c:formatCode>General</c:formatCode>
                <c:ptCount val="9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</c:numCache>
            </c:numRef>
          </c:xVal>
          <c:yVal>
            <c:numRef>
              <c:f>'Задание 2'!$B$77:$J$77</c:f>
              <c:numCache>
                <c:formatCode>General</c:formatCode>
                <c:ptCount val="9"/>
                <c:pt idx="0">
                  <c:v>-1.3862943611198906</c:v>
                </c:pt>
                <c:pt idx="1">
                  <c:v>-0.69314718055994529</c:v>
                </c:pt>
                <c:pt idx="2">
                  <c:v>-0.2876820724517809</c:v>
                </c:pt>
                <c:pt idx="3">
                  <c:v>0</c:v>
                </c:pt>
                <c:pt idx="4">
                  <c:v>0.22314355131420976</c:v>
                </c:pt>
                <c:pt idx="5">
                  <c:v>0.40546510810816438</c:v>
                </c:pt>
                <c:pt idx="6">
                  <c:v>0.55961578793542266</c:v>
                </c:pt>
                <c:pt idx="7">
                  <c:v>0.69314718055994529</c:v>
                </c:pt>
                <c:pt idx="8">
                  <c:v>0.81093021621632877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67-47D6-9E0E-433CA1274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107008"/>
        <c:axId val="753107968"/>
      </c:scatterChart>
      <c:valAx>
        <c:axId val="7531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160651793525807"/>
              <c:y val="0.36016185476815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3107968"/>
        <c:crosses val="autoZero"/>
        <c:crossBetween val="midCat"/>
      </c:valAx>
      <c:valAx>
        <c:axId val="7531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5277777777777779"/>
              <c:y val="0.14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531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y=log5(x)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2'!$A$95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2'!$B$94:$J$94</c:f>
              <c:numCache>
                <c:formatCode>General</c:formatCode>
                <c:ptCount val="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</c:numCache>
            </c:numRef>
          </c:xVal>
          <c:yVal>
            <c:numRef>
              <c:f>'Задание 2'!$B$95:$J$95</c:f>
              <c:numCache>
                <c:formatCode>General</c:formatCode>
                <c:ptCount val="9"/>
                <c:pt idx="0">
                  <c:v>-0.43067655807339306</c:v>
                </c:pt>
                <c:pt idx="1">
                  <c:v>0</c:v>
                </c:pt>
                <c:pt idx="2">
                  <c:v>0.25192963641259225</c:v>
                </c:pt>
                <c:pt idx="3">
                  <c:v>0.43067655807339306</c:v>
                </c:pt>
                <c:pt idx="4">
                  <c:v>0.569323441926607</c:v>
                </c:pt>
                <c:pt idx="5">
                  <c:v>0.68260619448598536</c:v>
                </c:pt>
                <c:pt idx="6">
                  <c:v>0.77838539704877463</c:v>
                </c:pt>
                <c:pt idx="7">
                  <c:v>0.86135311614678611</c:v>
                </c:pt>
                <c:pt idx="8">
                  <c:v>0.93453583089857761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78-48B7-A18A-776F054A7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127584"/>
        <c:axId val="592128064"/>
      </c:scatterChart>
      <c:valAx>
        <c:axId val="59212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4911001749781276"/>
              <c:y val="0.53608778069408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92128064"/>
        <c:crosses val="autoZero"/>
        <c:crossBetween val="midCat"/>
      </c:valAx>
      <c:valAx>
        <c:axId val="5921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5555555555555556"/>
              <c:y val="0.135092592592592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59212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Гиперболический параболоид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>
                <a:shade val="41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3'!$B$2:$L$2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D-42BC-A43D-F8E1E651D6C5}"/>
            </c:ext>
          </c:extLst>
        </c:ser>
        <c:ser>
          <c:idx val="1"/>
          <c:order val="1"/>
          <c:tx>
            <c:strRef>
              <c:f>'Задание 3'!$A$3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3'!$B$3:$L$3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D-42BC-A43D-F8E1E651D6C5}"/>
            </c:ext>
          </c:extLst>
        </c:ser>
        <c:ser>
          <c:idx val="2"/>
          <c:order val="2"/>
          <c:tx>
            <c:strRef>
              <c:f>'Задание 3'!$A$4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3'!$B$4:$L$4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D-42BC-A43D-F8E1E651D6C5}"/>
            </c:ext>
          </c:extLst>
        </c:ser>
        <c:ser>
          <c:idx val="3"/>
          <c:order val="3"/>
          <c:tx>
            <c:strRef>
              <c:f>'Задание 3'!$A$5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3'!$B$5:$L$5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D-42BC-A43D-F8E1E651D6C5}"/>
            </c:ext>
          </c:extLst>
        </c:ser>
        <c:ser>
          <c:idx val="4"/>
          <c:order val="4"/>
          <c:tx>
            <c:strRef>
              <c:f>'Задание 3'!$A$6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>
                <a:shade val="88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3'!$B$6:$L$6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D-42BC-A43D-F8E1E651D6C5}"/>
            </c:ext>
          </c:extLst>
        </c:ser>
        <c:ser>
          <c:idx val="5"/>
          <c:order val="5"/>
          <c:tx>
            <c:strRef>
              <c:f>'Задание 3'!$A$7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ED-42BC-A43D-F8E1E651D6C5}"/>
            </c:ext>
          </c:extLst>
        </c:ser>
        <c:ser>
          <c:idx val="6"/>
          <c:order val="6"/>
          <c:tx>
            <c:strRef>
              <c:f>'Задание 3'!$A$8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89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3'!$B$8:$L$8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D-42BC-A43D-F8E1E651D6C5}"/>
            </c:ext>
          </c:extLst>
        </c:ser>
        <c:ser>
          <c:idx val="7"/>
          <c:order val="7"/>
          <c:tx>
            <c:strRef>
              <c:f>'Задание 3'!$A$9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3'!$B$9:$L$9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ED-42BC-A43D-F8E1E651D6C5}"/>
            </c:ext>
          </c:extLst>
        </c:ser>
        <c:ser>
          <c:idx val="8"/>
          <c:order val="8"/>
          <c:tx>
            <c:strRef>
              <c:f>'Задание 3'!$A$10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3'!$B$10:$L$10</c:f>
              <c:numCache>
                <c:formatCode>General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ED-42BC-A43D-F8E1E651D6C5}"/>
            </c:ext>
          </c:extLst>
        </c:ser>
        <c:ser>
          <c:idx val="9"/>
          <c:order val="9"/>
          <c:tx>
            <c:strRef>
              <c:f>'Задание 3'!$A$11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3'!$B$11:$L$11</c:f>
              <c:numCache>
                <c:formatCode>General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ED-42BC-A43D-F8E1E651D6C5}"/>
            </c:ext>
          </c:extLst>
        </c:ser>
        <c:ser>
          <c:idx val="10"/>
          <c:order val="10"/>
          <c:tx>
            <c:strRef>
              <c:f>'Задание 3'!$A$12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42000"/>
              </a:schemeClr>
            </a:solidFill>
            <a:ln/>
            <a:effectLst/>
            <a:sp3d/>
          </c:spPr>
          <c:cat>
            <c:numRef>
              <c:f>'Задание 3'!$B$1:$L$1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3'!$B$12:$L$12</c:f>
              <c:numCache>
                <c:formatCode>General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ED-42BC-A43D-F8E1E651D6C5}"/>
            </c:ext>
          </c:extLst>
        </c:ser>
        <c:bandFmts>
          <c:bandFmt>
            <c:idx val="0"/>
            <c:spPr>
              <a:solidFill>
                <a:schemeClr val="accent1">
                  <a:shade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shade val="7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shade val="9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</c:bandFmts>
        <c:axId val="344193696"/>
        <c:axId val="344201376"/>
        <c:axId val="1933803536"/>
      </c:surface3DChart>
      <c:catAx>
        <c:axId val="3441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201376"/>
        <c:crosses val="autoZero"/>
        <c:auto val="1"/>
        <c:lblAlgn val="ctr"/>
        <c:lblOffset val="100"/>
        <c:noMultiLvlLbl val="0"/>
      </c:catAx>
      <c:valAx>
        <c:axId val="3442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193696"/>
        <c:crosses val="autoZero"/>
        <c:crossBetween val="midCat"/>
      </c:valAx>
      <c:serAx>
        <c:axId val="193380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201376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Гиперболический параболоид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 + коэф.'!$A$2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>
                <a:shade val="41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коэф.'!$B$2:$L$2</c:f>
              <c:numCache>
                <c:formatCode>General</c:formatCode>
                <c:ptCount val="11"/>
                <c:pt idx="0">
                  <c:v>50</c:v>
                </c:pt>
                <c:pt idx="1">
                  <c:v>29.75</c:v>
                </c:pt>
                <c:pt idx="2">
                  <c:v>14</c:v>
                </c:pt>
                <c:pt idx="3">
                  <c:v>2.75</c:v>
                </c:pt>
                <c:pt idx="4">
                  <c:v>-4</c:v>
                </c:pt>
                <c:pt idx="5">
                  <c:v>-6.25</c:v>
                </c:pt>
                <c:pt idx="6">
                  <c:v>-4</c:v>
                </c:pt>
                <c:pt idx="7">
                  <c:v>2.75</c:v>
                </c:pt>
                <c:pt idx="8">
                  <c:v>14</c:v>
                </c:pt>
                <c:pt idx="9">
                  <c:v>29.75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F-4173-8A06-70B8411EDD3D}"/>
            </c:ext>
          </c:extLst>
        </c:ser>
        <c:ser>
          <c:idx val="1"/>
          <c:order val="1"/>
          <c:tx>
            <c:strRef>
              <c:f>'Задание 3 + коэф.'!$A$3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коэф.'!$B$3:$L$3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F-4173-8A06-70B8411EDD3D}"/>
            </c:ext>
          </c:extLst>
        </c:ser>
        <c:ser>
          <c:idx val="2"/>
          <c:order val="2"/>
          <c:tx>
            <c:strRef>
              <c:f>'Задание 3 + коэф.'!$A$4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коэф.'!$B$4:$L$4</c:f>
              <c:numCache>
                <c:formatCode>General</c:formatCode>
                <c:ptCount val="11"/>
                <c:pt idx="0">
                  <c:v>54</c:v>
                </c:pt>
                <c:pt idx="1">
                  <c:v>33.75</c:v>
                </c:pt>
                <c:pt idx="2">
                  <c:v>18</c:v>
                </c:pt>
                <c:pt idx="3">
                  <c:v>6.75</c:v>
                </c:pt>
                <c:pt idx="4">
                  <c:v>0</c:v>
                </c:pt>
                <c:pt idx="5">
                  <c:v>-2.25</c:v>
                </c:pt>
                <c:pt idx="6">
                  <c:v>0</c:v>
                </c:pt>
                <c:pt idx="7">
                  <c:v>6.75</c:v>
                </c:pt>
                <c:pt idx="8">
                  <c:v>18</c:v>
                </c:pt>
                <c:pt idx="9">
                  <c:v>33.75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0F-4173-8A06-70B8411EDD3D}"/>
            </c:ext>
          </c:extLst>
        </c:ser>
        <c:ser>
          <c:idx val="3"/>
          <c:order val="3"/>
          <c:tx>
            <c:strRef>
              <c:f>'Задание 3 + коэф.'!$A$5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коэф.'!$B$5:$L$5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0F-4173-8A06-70B8411EDD3D}"/>
            </c:ext>
          </c:extLst>
        </c:ser>
        <c:ser>
          <c:idx val="4"/>
          <c:order val="4"/>
          <c:tx>
            <c:strRef>
              <c:f>'Задание 3 + коэф.'!$A$6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>
                <a:shade val="88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коэф.'!$B$6:$L$6</c:f>
              <c:numCache>
                <c:formatCode>General</c:formatCode>
                <c:ptCount val="11"/>
                <c:pt idx="0">
                  <c:v>56</c:v>
                </c:pt>
                <c:pt idx="1">
                  <c:v>35.75</c:v>
                </c:pt>
                <c:pt idx="2">
                  <c:v>20</c:v>
                </c:pt>
                <c:pt idx="3">
                  <c:v>8.75</c:v>
                </c:pt>
                <c:pt idx="4">
                  <c:v>2</c:v>
                </c:pt>
                <c:pt idx="5">
                  <c:v>-0.25</c:v>
                </c:pt>
                <c:pt idx="6">
                  <c:v>2</c:v>
                </c:pt>
                <c:pt idx="7">
                  <c:v>8.75</c:v>
                </c:pt>
                <c:pt idx="8">
                  <c:v>20</c:v>
                </c:pt>
                <c:pt idx="9">
                  <c:v>35.75</c:v>
                </c:pt>
                <c:pt idx="1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0F-4173-8A06-70B8411EDD3D}"/>
            </c:ext>
          </c:extLst>
        </c:ser>
        <c:ser>
          <c:idx val="5"/>
          <c:order val="5"/>
          <c:tx>
            <c:strRef>
              <c:f>'Задание 3 + коэф.'!$A$7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0F-4173-8A06-70B8411EDD3D}"/>
            </c:ext>
          </c:extLst>
        </c:ser>
        <c:ser>
          <c:idx val="6"/>
          <c:order val="6"/>
          <c:tx>
            <c:strRef>
              <c:f>'Задание 3 + коэф.'!$A$8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89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коэф.'!$B$8:$L$8</c:f>
              <c:numCache>
                <c:formatCode>General</c:formatCode>
                <c:ptCount val="11"/>
                <c:pt idx="0">
                  <c:v>56</c:v>
                </c:pt>
                <c:pt idx="1">
                  <c:v>35.75</c:v>
                </c:pt>
                <c:pt idx="2">
                  <c:v>20</c:v>
                </c:pt>
                <c:pt idx="3">
                  <c:v>8.75</c:v>
                </c:pt>
                <c:pt idx="4">
                  <c:v>2</c:v>
                </c:pt>
                <c:pt idx="5">
                  <c:v>-0.25</c:v>
                </c:pt>
                <c:pt idx="6">
                  <c:v>2</c:v>
                </c:pt>
                <c:pt idx="7">
                  <c:v>8.75</c:v>
                </c:pt>
                <c:pt idx="8">
                  <c:v>20</c:v>
                </c:pt>
                <c:pt idx="9">
                  <c:v>35.75</c:v>
                </c:pt>
                <c:pt idx="1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F-4173-8A06-70B8411EDD3D}"/>
            </c:ext>
          </c:extLst>
        </c:ser>
        <c:ser>
          <c:idx val="7"/>
          <c:order val="7"/>
          <c:tx>
            <c:strRef>
              <c:f>'Задание 3 + коэф.'!$A$9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коэф.'!$B$9:$L$9</c:f>
              <c:numCache>
                <c:formatCode>General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0F-4173-8A06-70B8411EDD3D}"/>
            </c:ext>
          </c:extLst>
        </c:ser>
        <c:ser>
          <c:idx val="8"/>
          <c:order val="8"/>
          <c:tx>
            <c:strRef>
              <c:f>'Задание 3 + коэф.'!$A$10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коэф.'!$B$10:$L$10</c:f>
              <c:numCache>
                <c:formatCode>General</c:formatCode>
                <c:ptCount val="11"/>
                <c:pt idx="0">
                  <c:v>54</c:v>
                </c:pt>
                <c:pt idx="1">
                  <c:v>33.75</c:v>
                </c:pt>
                <c:pt idx="2">
                  <c:v>18</c:v>
                </c:pt>
                <c:pt idx="3">
                  <c:v>6.75</c:v>
                </c:pt>
                <c:pt idx="4">
                  <c:v>0</c:v>
                </c:pt>
                <c:pt idx="5">
                  <c:v>-2.25</c:v>
                </c:pt>
                <c:pt idx="6">
                  <c:v>0</c:v>
                </c:pt>
                <c:pt idx="7">
                  <c:v>6.75</c:v>
                </c:pt>
                <c:pt idx="8">
                  <c:v>18</c:v>
                </c:pt>
                <c:pt idx="9">
                  <c:v>33.75</c:v>
                </c:pt>
                <c:pt idx="1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0F-4173-8A06-70B8411EDD3D}"/>
            </c:ext>
          </c:extLst>
        </c:ser>
        <c:ser>
          <c:idx val="9"/>
          <c:order val="9"/>
          <c:tx>
            <c:strRef>
              <c:f>'Задание 3 + коэф.'!$A$11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коэф.'!$B$11:$L$11</c:f>
              <c:numCache>
                <c:formatCode>General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0F-4173-8A06-70B8411EDD3D}"/>
            </c:ext>
          </c:extLst>
        </c:ser>
        <c:ser>
          <c:idx val="10"/>
          <c:order val="10"/>
          <c:tx>
            <c:strRef>
              <c:f>'Задание 3 + коэф.'!$A$12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tint val="42000"/>
              </a:schemeClr>
            </a:solidFill>
            <a:ln/>
            <a:effectLst/>
            <a:sp3d/>
          </c:spPr>
          <c:cat>
            <c:numRef>
              <c:f>'Задание 3 + коэф.'!$B$1:$L$1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+ коэф.'!$B$12:$L$12</c:f>
              <c:numCache>
                <c:formatCode>General</c:formatCode>
                <c:ptCount val="11"/>
                <c:pt idx="0">
                  <c:v>50</c:v>
                </c:pt>
                <c:pt idx="1">
                  <c:v>29.75</c:v>
                </c:pt>
                <c:pt idx="2">
                  <c:v>14</c:v>
                </c:pt>
                <c:pt idx="3">
                  <c:v>2.75</c:v>
                </c:pt>
                <c:pt idx="4">
                  <c:v>-4</c:v>
                </c:pt>
                <c:pt idx="5">
                  <c:v>-6.25</c:v>
                </c:pt>
                <c:pt idx="6">
                  <c:v>-4</c:v>
                </c:pt>
                <c:pt idx="7">
                  <c:v>2.75</c:v>
                </c:pt>
                <c:pt idx="8">
                  <c:v>14</c:v>
                </c:pt>
                <c:pt idx="9">
                  <c:v>29.75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0F-4173-8A06-70B8411EDD3D}"/>
            </c:ext>
          </c:extLst>
        </c:ser>
        <c:bandFmts>
          <c:bandFmt>
            <c:idx val="0"/>
            <c:spPr>
              <a:solidFill>
                <a:schemeClr val="accent1">
                  <a:shade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1">
                  <a:shade val="70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shade val="90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1">
                  <a:tint val="5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1">
                  <a:tint val="3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tint val="1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1">
                  <a:tint val="9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1">
                  <a:tint val="70000"/>
                </a:schemeClr>
              </a:solidFill>
              <a:ln/>
              <a:effectLst/>
              <a:sp3d/>
            </c:spPr>
          </c:bandFmt>
        </c:bandFmts>
        <c:axId val="344193696"/>
        <c:axId val="344201376"/>
        <c:axId val="1933803536"/>
      </c:surface3DChart>
      <c:catAx>
        <c:axId val="3441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201376"/>
        <c:crosses val="autoZero"/>
        <c:auto val="1"/>
        <c:lblAlgn val="ctr"/>
        <c:lblOffset val="100"/>
        <c:noMultiLvlLbl val="0"/>
      </c:catAx>
      <c:valAx>
        <c:axId val="3442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193696"/>
        <c:crosses val="autoZero"/>
        <c:crossBetween val="midCat"/>
      </c:valAx>
      <c:serAx>
        <c:axId val="19338035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344201376"/>
        <c:crosses val="autoZero"/>
      </c:serAx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6913</xdr:colOff>
      <xdr:row>6</xdr:row>
      <xdr:rowOff>7221</xdr:rowOff>
    </xdr:from>
    <xdr:to>
      <xdr:col>10</xdr:col>
      <xdr:colOff>23812</xdr:colOff>
      <xdr:row>20</xdr:row>
      <xdr:rowOff>8143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C27342-C1E1-63DA-4528-7ABAFCF8A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5383</xdr:rowOff>
    </xdr:from>
    <xdr:to>
      <xdr:col>7</xdr:col>
      <xdr:colOff>49696</xdr:colOff>
      <xdr:row>18</xdr:row>
      <xdr:rowOff>15323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302062-B9D5-9E9E-A864-DC172434B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3311</xdr:rowOff>
    </xdr:from>
    <xdr:to>
      <xdr:col>7</xdr:col>
      <xdr:colOff>49696</xdr:colOff>
      <xdr:row>37</xdr:row>
      <xdr:rowOff>13250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3DDCD4-D5C4-E2A2-19B1-688C2A65D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4761</xdr:rowOff>
    </xdr:from>
    <xdr:to>
      <xdr:col>10</xdr:col>
      <xdr:colOff>47625</xdr:colOff>
      <xdr:row>55</xdr:row>
      <xdr:rowOff>14286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4F27240-0E55-111D-C9B9-50BD8D947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</xdr:colOff>
      <xdr:row>58</xdr:row>
      <xdr:rowOff>195262</xdr:rowOff>
    </xdr:from>
    <xdr:to>
      <xdr:col>13</xdr:col>
      <xdr:colOff>14288</xdr:colOff>
      <xdr:row>74</xdr:row>
      <xdr:rowOff>14288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7692C60-1FF9-1A19-53E3-6B82929E1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78</xdr:row>
      <xdr:rowOff>9525</xdr:rowOff>
    </xdr:from>
    <xdr:to>
      <xdr:col>11</xdr:col>
      <xdr:colOff>223837</xdr:colOff>
      <xdr:row>92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28A2E52-3C6A-642B-08D7-AC6F6909A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96</xdr:row>
      <xdr:rowOff>4762</xdr:rowOff>
    </xdr:from>
    <xdr:to>
      <xdr:col>11</xdr:col>
      <xdr:colOff>223837</xdr:colOff>
      <xdr:row>110</xdr:row>
      <xdr:rowOff>14287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2DCA760-0166-D7B1-DF18-22396CFDF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14</xdr:col>
      <xdr:colOff>238125</xdr:colOff>
      <xdr:row>28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3B601CC-9F30-B9A3-4BA7-2897F5DF4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13</xdr:row>
      <xdr:rowOff>9525</xdr:rowOff>
    </xdr:from>
    <xdr:to>
      <xdr:col>12</xdr:col>
      <xdr:colOff>66675</xdr:colOff>
      <xdr:row>28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2BE707-45BE-4549-AD17-D4DDFC891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812F-BC06-4CBF-A1E2-2590965511C8}">
  <dimension ref="A1:H5"/>
  <sheetViews>
    <sheetView tabSelected="1" showRuler="0" zoomScaleNormal="100" zoomScalePageLayoutView="124" workbookViewId="0">
      <selection activeCell="I5" sqref="I5"/>
    </sheetView>
  </sheetViews>
  <sheetFormatPr defaultRowHeight="15.4" x14ac:dyDescent="0.45"/>
  <cols>
    <col min="1" max="9" width="6.06640625" style="1" customWidth="1"/>
    <col min="10" max="16384" width="9.06640625" style="1"/>
  </cols>
  <sheetData>
    <row r="1" spans="1:8" x14ac:dyDescent="0.45">
      <c r="A1" s="2" t="s">
        <v>0</v>
      </c>
      <c r="B1" s="2">
        <v>2</v>
      </c>
      <c r="C1" s="3"/>
      <c r="D1" s="3"/>
      <c r="E1" s="3"/>
      <c r="F1" s="3"/>
      <c r="G1" s="3"/>
      <c r="H1" s="3"/>
    </row>
    <row r="2" spans="1:8" x14ac:dyDescent="0.45">
      <c r="A2" s="2" t="s">
        <v>1</v>
      </c>
      <c r="B2" s="2">
        <v>3</v>
      </c>
      <c r="C2" s="3"/>
      <c r="D2" s="3"/>
      <c r="E2" s="3"/>
      <c r="F2" s="3"/>
      <c r="G2" s="3"/>
      <c r="H2" s="3"/>
    </row>
    <row r="3" spans="1:8" x14ac:dyDescent="0.45">
      <c r="A3" s="3"/>
      <c r="B3" s="3"/>
      <c r="C3" s="3"/>
      <c r="D3" s="3"/>
      <c r="E3" s="3"/>
      <c r="F3" s="3"/>
      <c r="G3" s="3"/>
      <c r="H3" s="3"/>
    </row>
    <row r="4" spans="1:8" x14ac:dyDescent="0.45">
      <c r="A4" s="4" t="s">
        <v>2</v>
      </c>
      <c r="B4" s="4">
        <v>-3</v>
      </c>
      <c r="C4" s="4">
        <v>-2</v>
      </c>
      <c r="D4" s="4">
        <v>-1</v>
      </c>
      <c r="E4" s="4">
        <v>0</v>
      </c>
      <c r="F4" s="4">
        <v>1</v>
      </c>
      <c r="G4" s="4">
        <v>2</v>
      </c>
      <c r="H4" s="4">
        <v>3</v>
      </c>
    </row>
    <row r="5" spans="1:8" x14ac:dyDescent="0.45">
      <c r="A5" s="4" t="s">
        <v>3</v>
      </c>
      <c r="B5" s="4">
        <f>$B$1*B4+$B$2</f>
        <v>-3</v>
      </c>
      <c r="C5" s="4">
        <f t="shared" ref="C5:H5" si="0">$B$1*C4+$B$2</f>
        <v>-1</v>
      </c>
      <c r="D5" s="4">
        <f t="shared" si="0"/>
        <v>1</v>
      </c>
      <c r="E5" s="4">
        <f t="shared" si="0"/>
        <v>3</v>
      </c>
      <c r="F5" s="4">
        <f t="shared" si="0"/>
        <v>5</v>
      </c>
      <c r="G5" s="4">
        <f t="shared" si="0"/>
        <v>7</v>
      </c>
      <c r="H5" s="4">
        <f t="shared" si="0"/>
        <v>9</v>
      </c>
    </row>
  </sheetData>
  <pageMargins left="0.7" right="0.7" top="0.75" bottom="0.75" header="0.3" footer="0.3"/>
  <pageSetup paperSize="9" orientation="portrait" r:id="rId1"/>
  <headerFooter differentFirst="1">
    <oddHeader>&amp;C&amp;"Times New Roman,обычный"&amp;12Крамбалев Сергей Дмитриевич, подгр. 1</oddHeader>
    <firstHeader>&amp;CКрамбалев Сергей Дмитриевич, подгр. 1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CBE2-5667-440D-84A1-56E6441CBB3C}">
  <dimension ref="A1:P95"/>
  <sheetViews>
    <sheetView zoomScaleNormal="100" zoomScalePageLayoutView="115" workbookViewId="0">
      <selection activeCell="J2" sqref="J2"/>
    </sheetView>
  </sheetViews>
  <sheetFormatPr defaultRowHeight="15.4" x14ac:dyDescent="0.45"/>
  <cols>
    <col min="1" max="16" width="5.53125" style="1" customWidth="1"/>
    <col min="17" max="16384" width="9.06640625" style="1"/>
  </cols>
  <sheetData>
    <row r="1" spans="1:8" x14ac:dyDescent="0.45">
      <c r="A1" s="2" t="s">
        <v>2</v>
      </c>
      <c r="B1" s="4">
        <v>-3</v>
      </c>
      <c r="C1" s="4">
        <v>-2</v>
      </c>
      <c r="D1" s="4">
        <v>-1</v>
      </c>
      <c r="E1" s="4">
        <v>0</v>
      </c>
      <c r="F1" s="4">
        <v>1</v>
      </c>
      <c r="G1" s="4">
        <v>2</v>
      </c>
      <c r="H1" s="4">
        <v>3</v>
      </c>
    </row>
    <row r="2" spans="1:8" x14ac:dyDescent="0.45">
      <c r="A2" s="2" t="s">
        <v>3</v>
      </c>
      <c r="B2" s="4">
        <f>POWER(2, B1)+3</f>
        <v>3.125</v>
      </c>
      <c r="C2" s="4">
        <f t="shared" ref="C2:H2" si="0">POWER(2, C1)+3</f>
        <v>3.25</v>
      </c>
      <c r="D2" s="4">
        <f t="shared" si="0"/>
        <v>3.5</v>
      </c>
      <c r="E2" s="4">
        <f t="shared" si="0"/>
        <v>4</v>
      </c>
      <c r="F2" s="4">
        <f t="shared" si="0"/>
        <v>5</v>
      </c>
      <c r="G2" s="4">
        <f t="shared" si="0"/>
        <v>7</v>
      </c>
      <c r="H2" s="4">
        <f t="shared" si="0"/>
        <v>11</v>
      </c>
    </row>
    <row r="20" spans="1:8" x14ac:dyDescent="0.45">
      <c r="A20" s="2" t="s">
        <v>2</v>
      </c>
      <c r="B20" s="4">
        <v>0</v>
      </c>
      <c r="C20" s="4">
        <v>1</v>
      </c>
      <c r="D20" s="4">
        <v>4</v>
      </c>
      <c r="E20" s="4">
        <v>9</v>
      </c>
      <c r="F20" s="4">
        <v>16</v>
      </c>
      <c r="G20" s="4">
        <v>25</v>
      </c>
      <c r="H20" s="4">
        <v>36</v>
      </c>
    </row>
    <row r="21" spans="1:8" x14ac:dyDescent="0.45">
      <c r="A21" s="2" t="s">
        <v>3</v>
      </c>
      <c r="B21" s="4">
        <f>SQRT(B20)</f>
        <v>0</v>
      </c>
      <c r="C21" s="4">
        <f t="shared" ref="C21:H21" si="1">SQRT(C20)</f>
        <v>1</v>
      </c>
      <c r="D21" s="4">
        <f t="shared" si="1"/>
        <v>2</v>
      </c>
      <c r="E21" s="4">
        <f t="shared" si="1"/>
        <v>3</v>
      </c>
      <c r="F21" s="4">
        <f t="shared" si="1"/>
        <v>4</v>
      </c>
      <c r="G21" s="4">
        <f t="shared" si="1"/>
        <v>5</v>
      </c>
      <c r="H21" s="4">
        <f t="shared" si="1"/>
        <v>6</v>
      </c>
    </row>
    <row r="39" spans="1:10" x14ac:dyDescent="0.45">
      <c r="A39" s="2" t="s">
        <v>2</v>
      </c>
      <c r="B39" s="4">
        <v>-4</v>
      </c>
      <c r="C39" s="4">
        <v>-3</v>
      </c>
      <c r="D39" s="4">
        <v>-2</v>
      </c>
      <c r="E39" s="4">
        <v>-1</v>
      </c>
      <c r="F39" s="4">
        <v>0</v>
      </c>
      <c r="G39" s="4">
        <v>1</v>
      </c>
      <c r="H39" s="4">
        <v>2</v>
      </c>
      <c r="I39" s="4">
        <v>3</v>
      </c>
      <c r="J39" s="4">
        <v>4</v>
      </c>
    </row>
    <row r="40" spans="1:10" x14ac:dyDescent="0.45">
      <c r="A40" s="2" t="s">
        <v>3</v>
      </c>
      <c r="B40" s="4">
        <f>7-ABS(B39)</f>
        <v>3</v>
      </c>
      <c r="C40" s="4">
        <f t="shared" ref="C40:J40" si="2">7-ABS(C39)</f>
        <v>4</v>
      </c>
      <c r="D40" s="4">
        <f t="shared" si="2"/>
        <v>5</v>
      </c>
      <c r="E40" s="4">
        <f t="shared" si="2"/>
        <v>6</v>
      </c>
      <c r="F40" s="4">
        <f t="shared" si="2"/>
        <v>7</v>
      </c>
      <c r="G40" s="4">
        <f t="shared" si="2"/>
        <v>6</v>
      </c>
      <c r="H40" s="4">
        <f t="shared" si="2"/>
        <v>5</v>
      </c>
      <c r="I40" s="4">
        <f t="shared" si="2"/>
        <v>4</v>
      </c>
      <c r="J40" s="4">
        <f t="shared" si="2"/>
        <v>3</v>
      </c>
    </row>
    <row r="57" spans="1:16" x14ac:dyDescent="0.45">
      <c r="A57" s="2" t="s">
        <v>2</v>
      </c>
      <c r="B57" s="4">
        <v>-1.75</v>
      </c>
      <c r="C57" s="4">
        <v>-1.5</v>
      </c>
      <c r="D57" s="4">
        <v>-1.25</v>
      </c>
      <c r="E57" s="4">
        <v>-1</v>
      </c>
      <c r="F57" s="4">
        <v>-0.75</v>
      </c>
      <c r="G57" s="4">
        <v>-0.5</v>
      </c>
      <c r="H57" s="4">
        <v>-0.25</v>
      </c>
      <c r="I57" s="4">
        <v>0</v>
      </c>
      <c r="J57" s="4">
        <v>0.25</v>
      </c>
      <c r="K57" s="4">
        <v>0.5</v>
      </c>
      <c r="L57" s="4">
        <v>0.75</v>
      </c>
      <c r="M57" s="4">
        <v>1</v>
      </c>
      <c r="N57" s="4">
        <v>1.25</v>
      </c>
      <c r="O57" s="4">
        <v>1.5</v>
      </c>
      <c r="P57" s="4">
        <v>1.75</v>
      </c>
    </row>
    <row r="58" spans="1:16" x14ac:dyDescent="0.45">
      <c r="A58" s="2" t="s">
        <v>3</v>
      </c>
      <c r="B58" s="4">
        <f>1/B57</f>
        <v>-0.5714285714285714</v>
      </c>
      <c r="C58" s="4">
        <f t="shared" ref="C58:P58" si="3">1/C57</f>
        <v>-0.66666666666666663</v>
      </c>
      <c r="D58" s="4">
        <f t="shared" si="3"/>
        <v>-0.8</v>
      </c>
      <c r="E58" s="4">
        <f t="shared" si="3"/>
        <v>-1</v>
      </c>
      <c r="F58" s="4">
        <f t="shared" si="3"/>
        <v>-1.3333333333333333</v>
      </c>
      <c r="G58" s="4">
        <f t="shared" si="3"/>
        <v>-2</v>
      </c>
      <c r="H58" s="4">
        <f t="shared" si="3"/>
        <v>-4</v>
      </c>
      <c r="I58" s="4"/>
      <c r="J58" s="4">
        <f t="shared" si="3"/>
        <v>4</v>
      </c>
      <c r="K58" s="4">
        <f t="shared" si="3"/>
        <v>2</v>
      </c>
      <c r="L58" s="4">
        <f t="shared" si="3"/>
        <v>1.3333333333333333</v>
      </c>
      <c r="M58" s="4">
        <f t="shared" si="3"/>
        <v>1</v>
      </c>
      <c r="N58" s="4">
        <f t="shared" si="3"/>
        <v>0.8</v>
      </c>
      <c r="O58" s="4">
        <f t="shared" si="3"/>
        <v>0.66666666666666663</v>
      </c>
      <c r="P58" s="4">
        <f t="shared" si="3"/>
        <v>0.5714285714285714</v>
      </c>
    </row>
    <row r="76" spans="1:10" x14ac:dyDescent="0.45">
      <c r="A76" s="2" t="s">
        <v>2</v>
      </c>
      <c r="B76" s="4">
        <v>0.25</v>
      </c>
      <c r="C76" s="4">
        <v>0.5</v>
      </c>
      <c r="D76" s="4">
        <v>0.75</v>
      </c>
      <c r="E76" s="4">
        <v>1</v>
      </c>
      <c r="F76" s="4">
        <v>1.25</v>
      </c>
      <c r="G76" s="4">
        <v>1.5</v>
      </c>
      <c r="H76" s="4">
        <v>1.75</v>
      </c>
      <c r="I76" s="4">
        <v>2</v>
      </c>
      <c r="J76" s="4">
        <v>2.25</v>
      </c>
    </row>
    <row r="77" spans="1:10" x14ac:dyDescent="0.45">
      <c r="A77" s="2" t="s">
        <v>3</v>
      </c>
      <c r="B77" s="4">
        <f t="shared" ref="B77:J77" si="4">LN(B76)</f>
        <v>-1.3862943611198906</v>
      </c>
      <c r="C77" s="4">
        <f t="shared" si="4"/>
        <v>-0.69314718055994529</v>
      </c>
      <c r="D77" s="4">
        <f t="shared" si="4"/>
        <v>-0.2876820724517809</v>
      </c>
      <c r="E77" s="4">
        <f t="shared" si="4"/>
        <v>0</v>
      </c>
      <c r="F77" s="4">
        <f t="shared" si="4"/>
        <v>0.22314355131420976</v>
      </c>
      <c r="G77" s="4">
        <f t="shared" si="4"/>
        <v>0.40546510810816438</v>
      </c>
      <c r="H77" s="4">
        <f t="shared" si="4"/>
        <v>0.55961578793542266</v>
      </c>
      <c r="I77" s="4">
        <f t="shared" si="4"/>
        <v>0.69314718055994529</v>
      </c>
      <c r="J77" s="4">
        <f t="shared" si="4"/>
        <v>0.81093021621632877</v>
      </c>
    </row>
    <row r="94" spans="1:10" x14ac:dyDescent="0.45">
      <c r="A94" s="2" t="s">
        <v>2</v>
      </c>
      <c r="B94" s="4">
        <v>0.5</v>
      </c>
      <c r="C94" s="4">
        <v>1</v>
      </c>
      <c r="D94" s="4">
        <v>1.5</v>
      </c>
      <c r="E94" s="4">
        <v>2</v>
      </c>
      <c r="F94" s="4">
        <v>2.5</v>
      </c>
      <c r="G94" s="4">
        <v>3</v>
      </c>
      <c r="H94" s="4">
        <v>3.5</v>
      </c>
      <c r="I94" s="4">
        <v>4</v>
      </c>
      <c r="J94" s="4">
        <v>4.5</v>
      </c>
    </row>
    <row r="95" spans="1:10" x14ac:dyDescent="0.45">
      <c r="A95" s="2" t="s">
        <v>3</v>
      </c>
      <c r="B95" s="4">
        <f>LOG(B94, 5)</f>
        <v>-0.43067655807339306</v>
      </c>
      <c r="C95" s="4">
        <f t="shared" ref="C95:J95" si="5">LOG(C94, 5)</f>
        <v>0</v>
      </c>
      <c r="D95" s="4">
        <f t="shared" si="5"/>
        <v>0.25192963641259225</v>
      </c>
      <c r="E95" s="4">
        <f t="shared" si="5"/>
        <v>0.43067655807339306</v>
      </c>
      <c r="F95" s="4">
        <f t="shared" si="5"/>
        <v>0.569323441926607</v>
      </c>
      <c r="G95" s="4">
        <f t="shared" si="5"/>
        <v>0.68260619448598536</v>
      </c>
      <c r="H95" s="4">
        <f t="shared" si="5"/>
        <v>0.77838539704877463</v>
      </c>
      <c r="I95" s="4">
        <f t="shared" si="5"/>
        <v>0.86135311614678611</v>
      </c>
      <c r="J95" s="4">
        <f t="shared" si="5"/>
        <v>0.93453583089857761</v>
      </c>
    </row>
  </sheetData>
  <pageMargins left="0.7" right="0.7" top="0.75" bottom="0.75" header="0.3" footer="0.3"/>
  <pageSetup paperSize="9" orientation="portrait" r:id="rId1"/>
  <headerFooter differentFirst="1">
    <firstHeader>&amp;CКрамбалев Сергей Дмитриевич, подгр. 1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04B0-880E-4612-939B-DB9136A8DDE7}">
  <dimension ref="A1:L12"/>
  <sheetViews>
    <sheetView zoomScaleNormal="100" workbookViewId="0">
      <selection activeCell="Q6" sqref="Q6"/>
    </sheetView>
  </sheetViews>
  <sheetFormatPr defaultRowHeight="14.25" x14ac:dyDescent="0.45"/>
  <cols>
    <col min="1" max="16" width="4.33203125" customWidth="1"/>
  </cols>
  <sheetData>
    <row r="1" spans="1:12" ht="15.4" x14ac:dyDescent="0.45">
      <c r="A1" s="2"/>
      <c r="B1" s="2">
        <v>-7.5</v>
      </c>
      <c r="C1" s="2">
        <v>-6</v>
      </c>
      <c r="D1" s="2">
        <v>-4.5</v>
      </c>
      <c r="E1" s="2">
        <v>-3</v>
      </c>
      <c r="F1" s="2">
        <v>-1.5</v>
      </c>
      <c r="G1" s="2">
        <v>0</v>
      </c>
      <c r="H1" s="2">
        <v>1.5</v>
      </c>
      <c r="I1" s="2">
        <v>3</v>
      </c>
      <c r="J1" s="2">
        <v>4.5</v>
      </c>
      <c r="K1" s="2">
        <v>6</v>
      </c>
      <c r="L1" s="2">
        <v>7.5</v>
      </c>
    </row>
    <row r="2" spans="1:12" ht="15.4" x14ac:dyDescent="0.45">
      <c r="A2" s="2">
        <v>-5</v>
      </c>
      <c r="B2" s="4">
        <f>(B$1)^2-($A2)^2</f>
        <v>31.25</v>
      </c>
      <c r="C2" s="4">
        <f t="shared" ref="C2:L12" si="0">(C$1)^2-($A2)^2</f>
        <v>11</v>
      </c>
      <c r="D2" s="4">
        <f t="shared" si="0"/>
        <v>-4.75</v>
      </c>
      <c r="E2" s="4">
        <f t="shared" si="0"/>
        <v>-16</v>
      </c>
      <c r="F2" s="4">
        <f t="shared" si="0"/>
        <v>-22.75</v>
      </c>
      <c r="G2" s="4">
        <f t="shared" si="0"/>
        <v>-25</v>
      </c>
      <c r="H2" s="4">
        <f t="shared" si="0"/>
        <v>-22.75</v>
      </c>
      <c r="I2" s="4">
        <f t="shared" si="0"/>
        <v>-16</v>
      </c>
      <c r="J2" s="4">
        <f t="shared" si="0"/>
        <v>-4.75</v>
      </c>
      <c r="K2" s="4">
        <f t="shared" si="0"/>
        <v>11</v>
      </c>
      <c r="L2" s="4">
        <f t="shared" si="0"/>
        <v>31.25</v>
      </c>
    </row>
    <row r="3" spans="1:12" ht="15.4" x14ac:dyDescent="0.45">
      <c r="A3" s="2">
        <v>-4</v>
      </c>
      <c r="B3" s="4">
        <f t="shared" ref="B3:B12" si="1">(B$1)^2-($A3)^2</f>
        <v>40.25</v>
      </c>
      <c r="C3" s="4">
        <f t="shared" si="0"/>
        <v>20</v>
      </c>
      <c r="D3" s="4">
        <f t="shared" si="0"/>
        <v>4.25</v>
      </c>
      <c r="E3" s="4">
        <f t="shared" si="0"/>
        <v>-7</v>
      </c>
      <c r="F3" s="4">
        <f t="shared" si="0"/>
        <v>-13.75</v>
      </c>
      <c r="G3" s="4">
        <f t="shared" si="0"/>
        <v>-16</v>
      </c>
      <c r="H3" s="4">
        <f t="shared" si="0"/>
        <v>-13.75</v>
      </c>
      <c r="I3" s="4">
        <f t="shared" si="0"/>
        <v>-7</v>
      </c>
      <c r="J3" s="4">
        <f t="shared" si="0"/>
        <v>4.25</v>
      </c>
      <c r="K3" s="4">
        <f t="shared" si="0"/>
        <v>20</v>
      </c>
      <c r="L3" s="4">
        <f t="shared" si="0"/>
        <v>40.25</v>
      </c>
    </row>
    <row r="4" spans="1:12" ht="15.4" x14ac:dyDescent="0.45">
      <c r="A4" s="2">
        <v>-3</v>
      </c>
      <c r="B4" s="4">
        <f t="shared" si="1"/>
        <v>47.25</v>
      </c>
      <c r="C4" s="4">
        <f t="shared" si="0"/>
        <v>27</v>
      </c>
      <c r="D4" s="4">
        <f t="shared" si="0"/>
        <v>11.25</v>
      </c>
      <c r="E4" s="4">
        <f t="shared" si="0"/>
        <v>0</v>
      </c>
      <c r="F4" s="4">
        <f t="shared" si="0"/>
        <v>-6.75</v>
      </c>
      <c r="G4" s="4">
        <f t="shared" si="0"/>
        <v>-9</v>
      </c>
      <c r="H4" s="4">
        <f t="shared" si="0"/>
        <v>-6.75</v>
      </c>
      <c r="I4" s="4">
        <f t="shared" si="0"/>
        <v>0</v>
      </c>
      <c r="J4" s="4">
        <f t="shared" si="0"/>
        <v>11.25</v>
      </c>
      <c r="K4" s="4">
        <f t="shared" si="0"/>
        <v>27</v>
      </c>
      <c r="L4" s="4">
        <f t="shared" si="0"/>
        <v>47.25</v>
      </c>
    </row>
    <row r="5" spans="1:12" ht="15.4" x14ac:dyDescent="0.45">
      <c r="A5" s="2">
        <v>-2</v>
      </c>
      <c r="B5" s="4">
        <f t="shared" si="1"/>
        <v>52.25</v>
      </c>
      <c r="C5" s="4">
        <f t="shared" si="0"/>
        <v>32</v>
      </c>
      <c r="D5" s="4">
        <f t="shared" si="0"/>
        <v>16.25</v>
      </c>
      <c r="E5" s="4">
        <f t="shared" si="0"/>
        <v>5</v>
      </c>
      <c r="F5" s="4">
        <f t="shared" si="0"/>
        <v>-1.75</v>
      </c>
      <c r="G5" s="4">
        <f t="shared" si="0"/>
        <v>-4</v>
      </c>
      <c r="H5" s="4">
        <f t="shared" si="0"/>
        <v>-1.75</v>
      </c>
      <c r="I5" s="4">
        <f t="shared" si="0"/>
        <v>5</v>
      </c>
      <c r="J5" s="4">
        <f t="shared" si="0"/>
        <v>16.25</v>
      </c>
      <c r="K5" s="4">
        <f t="shared" si="0"/>
        <v>32</v>
      </c>
      <c r="L5" s="4">
        <f t="shared" si="0"/>
        <v>52.25</v>
      </c>
    </row>
    <row r="6" spans="1:12" ht="15.4" x14ac:dyDescent="0.45">
      <c r="A6" s="2">
        <v>-1</v>
      </c>
      <c r="B6" s="4">
        <f t="shared" si="1"/>
        <v>55.25</v>
      </c>
      <c r="C6" s="4">
        <f t="shared" si="0"/>
        <v>35</v>
      </c>
      <c r="D6" s="4">
        <f t="shared" si="0"/>
        <v>19.25</v>
      </c>
      <c r="E6" s="4">
        <f t="shared" si="0"/>
        <v>8</v>
      </c>
      <c r="F6" s="4">
        <f t="shared" si="0"/>
        <v>1.25</v>
      </c>
      <c r="G6" s="4">
        <f t="shared" si="0"/>
        <v>-1</v>
      </c>
      <c r="H6" s="4">
        <f t="shared" si="0"/>
        <v>1.25</v>
      </c>
      <c r="I6" s="4">
        <f t="shared" si="0"/>
        <v>8</v>
      </c>
      <c r="J6" s="4">
        <f t="shared" si="0"/>
        <v>19.25</v>
      </c>
      <c r="K6" s="4">
        <f t="shared" si="0"/>
        <v>35</v>
      </c>
      <c r="L6" s="4">
        <f t="shared" si="0"/>
        <v>55.25</v>
      </c>
    </row>
    <row r="7" spans="1:12" ht="15.4" x14ac:dyDescent="0.45">
      <c r="A7" s="2">
        <v>0</v>
      </c>
      <c r="B7" s="4">
        <f t="shared" si="1"/>
        <v>56.25</v>
      </c>
      <c r="C7" s="4">
        <f t="shared" si="0"/>
        <v>36</v>
      </c>
      <c r="D7" s="4">
        <f t="shared" si="0"/>
        <v>20.25</v>
      </c>
      <c r="E7" s="4">
        <f t="shared" si="0"/>
        <v>9</v>
      </c>
      <c r="F7" s="4">
        <f t="shared" si="0"/>
        <v>2.25</v>
      </c>
      <c r="G7" s="4">
        <f t="shared" si="0"/>
        <v>0</v>
      </c>
      <c r="H7" s="4">
        <f t="shared" si="0"/>
        <v>2.25</v>
      </c>
      <c r="I7" s="4">
        <f t="shared" si="0"/>
        <v>9</v>
      </c>
      <c r="J7" s="4">
        <f t="shared" si="0"/>
        <v>20.25</v>
      </c>
      <c r="K7" s="4">
        <f t="shared" si="0"/>
        <v>36</v>
      </c>
      <c r="L7" s="4">
        <f t="shared" si="0"/>
        <v>56.25</v>
      </c>
    </row>
    <row r="8" spans="1:12" ht="15.4" x14ac:dyDescent="0.45">
      <c r="A8" s="2">
        <v>1</v>
      </c>
      <c r="B8" s="4">
        <f t="shared" si="1"/>
        <v>55.25</v>
      </c>
      <c r="C8" s="4">
        <f t="shared" si="0"/>
        <v>35</v>
      </c>
      <c r="D8" s="4">
        <f t="shared" si="0"/>
        <v>19.25</v>
      </c>
      <c r="E8" s="4">
        <f t="shared" si="0"/>
        <v>8</v>
      </c>
      <c r="F8" s="4">
        <f t="shared" si="0"/>
        <v>1.25</v>
      </c>
      <c r="G8" s="4">
        <f t="shared" si="0"/>
        <v>-1</v>
      </c>
      <c r="H8" s="4">
        <f t="shared" si="0"/>
        <v>1.25</v>
      </c>
      <c r="I8" s="4">
        <f t="shared" si="0"/>
        <v>8</v>
      </c>
      <c r="J8" s="4">
        <f t="shared" si="0"/>
        <v>19.25</v>
      </c>
      <c r="K8" s="4">
        <f t="shared" si="0"/>
        <v>35</v>
      </c>
      <c r="L8" s="4">
        <f t="shared" si="0"/>
        <v>55.25</v>
      </c>
    </row>
    <row r="9" spans="1:12" ht="15.4" x14ac:dyDescent="0.45">
      <c r="A9" s="2">
        <v>2</v>
      </c>
      <c r="B9" s="4">
        <f t="shared" si="1"/>
        <v>52.25</v>
      </c>
      <c r="C9" s="4">
        <f t="shared" si="0"/>
        <v>32</v>
      </c>
      <c r="D9" s="4">
        <f t="shared" si="0"/>
        <v>16.25</v>
      </c>
      <c r="E9" s="4">
        <f t="shared" si="0"/>
        <v>5</v>
      </c>
      <c r="F9" s="4">
        <f t="shared" si="0"/>
        <v>-1.75</v>
      </c>
      <c r="G9" s="4">
        <f t="shared" si="0"/>
        <v>-4</v>
      </c>
      <c r="H9" s="4">
        <f t="shared" si="0"/>
        <v>-1.75</v>
      </c>
      <c r="I9" s="4">
        <f t="shared" si="0"/>
        <v>5</v>
      </c>
      <c r="J9" s="4">
        <f t="shared" si="0"/>
        <v>16.25</v>
      </c>
      <c r="K9" s="4">
        <f t="shared" si="0"/>
        <v>32</v>
      </c>
      <c r="L9" s="4">
        <f t="shared" si="0"/>
        <v>52.25</v>
      </c>
    </row>
    <row r="10" spans="1:12" ht="15.4" x14ac:dyDescent="0.45">
      <c r="A10" s="2">
        <v>3</v>
      </c>
      <c r="B10" s="4">
        <f t="shared" si="1"/>
        <v>47.25</v>
      </c>
      <c r="C10" s="4">
        <f t="shared" si="0"/>
        <v>27</v>
      </c>
      <c r="D10" s="4">
        <f t="shared" si="0"/>
        <v>11.25</v>
      </c>
      <c r="E10" s="4">
        <f t="shared" si="0"/>
        <v>0</v>
      </c>
      <c r="F10" s="4">
        <f t="shared" si="0"/>
        <v>-6.75</v>
      </c>
      <c r="G10" s="4">
        <f t="shared" si="0"/>
        <v>-9</v>
      </c>
      <c r="H10" s="4">
        <f t="shared" si="0"/>
        <v>-6.75</v>
      </c>
      <c r="I10" s="4">
        <f t="shared" si="0"/>
        <v>0</v>
      </c>
      <c r="J10" s="4">
        <f t="shared" si="0"/>
        <v>11.25</v>
      </c>
      <c r="K10" s="4">
        <f t="shared" si="0"/>
        <v>27</v>
      </c>
      <c r="L10" s="4">
        <f t="shared" si="0"/>
        <v>47.25</v>
      </c>
    </row>
    <row r="11" spans="1:12" ht="15.4" x14ac:dyDescent="0.45">
      <c r="A11" s="2">
        <v>4</v>
      </c>
      <c r="B11" s="4">
        <f t="shared" si="1"/>
        <v>40.25</v>
      </c>
      <c r="C11" s="4">
        <f t="shared" si="0"/>
        <v>20</v>
      </c>
      <c r="D11" s="4">
        <f t="shared" si="0"/>
        <v>4.25</v>
      </c>
      <c r="E11" s="4">
        <f t="shared" si="0"/>
        <v>-7</v>
      </c>
      <c r="F11" s="4">
        <f t="shared" si="0"/>
        <v>-13.75</v>
      </c>
      <c r="G11" s="4">
        <f t="shared" si="0"/>
        <v>-16</v>
      </c>
      <c r="H11" s="4">
        <f t="shared" si="0"/>
        <v>-13.75</v>
      </c>
      <c r="I11" s="4">
        <f t="shared" si="0"/>
        <v>-7</v>
      </c>
      <c r="J11" s="4">
        <f t="shared" si="0"/>
        <v>4.25</v>
      </c>
      <c r="K11" s="4">
        <f t="shared" si="0"/>
        <v>20</v>
      </c>
      <c r="L11" s="4">
        <f t="shared" si="0"/>
        <v>40.25</v>
      </c>
    </row>
    <row r="12" spans="1:12" ht="15.4" x14ac:dyDescent="0.45">
      <c r="A12" s="2">
        <v>5</v>
      </c>
      <c r="B12" s="4">
        <f t="shared" si="1"/>
        <v>31.25</v>
      </c>
      <c r="C12" s="4">
        <f t="shared" si="0"/>
        <v>11</v>
      </c>
      <c r="D12" s="4">
        <f t="shared" si="0"/>
        <v>-4.75</v>
      </c>
      <c r="E12" s="4">
        <f t="shared" si="0"/>
        <v>-16</v>
      </c>
      <c r="F12" s="4">
        <f t="shared" si="0"/>
        <v>-22.75</v>
      </c>
      <c r="G12" s="4">
        <f t="shared" si="0"/>
        <v>-25</v>
      </c>
      <c r="H12" s="4">
        <f t="shared" si="0"/>
        <v>-22.75</v>
      </c>
      <c r="I12" s="4">
        <f t="shared" si="0"/>
        <v>-16</v>
      </c>
      <c r="J12" s="4">
        <f t="shared" si="0"/>
        <v>-4.75</v>
      </c>
      <c r="K12" s="4">
        <f t="shared" si="0"/>
        <v>11</v>
      </c>
      <c r="L12" s="4">
        <f t="shared" si="0"/>
        <v>31.25</v>
      </c>
    </row>
  </sheetData>
  <pageMargins left="0.7" right="0.7" top="0.75" bottom="0.75" header="0.3" footer="0.3"/>
  <pageSetup paperSize="9" orientation="portrait" r:id="rId1"/>
  <headerFooter differentFirst="1">
    <oddHeader xml:space="preserve">&amp;C&amp;"Times New Roman,обычный"&amp;12Крамбалев Сергей Дмитриевич, подгр.1 </oddHeader>
    <firstHeader>&amp;C&amp;"Times New Roman,обычный"&amp;12Крамбалев Сергей Дмитриевич, подгр. 1</first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F63-7FF3-4430-858C-809D4A88F5FA}">
  <dimension ref="A1:O12"/>
  <sheetViews>
    <sheetView zoomScaleNormal="100" workbookViewId="0">
      <selection activeCell="N6" sqref="N6"/>
    </sheetView>
  </sheetViews>
  <sheetFormatPr defaultRowHeight="14.25" x14ac:dyDescent="0.45"/>
  <cols>
    <col min="1" max="12" width="5.265625" customWidth="1"/>
  </cols>
  <sheetData>
    <row r="1" spans="1:15" ht="15.4" x14ac:dyDescent="0.45">
      <c r="A1" s="2"/>
      <c r="B1" s="2">
        <v>-7.5</v>
      </c>
      <c r="C1" s="2">
        <v>-6</v>
      </c>
      <c r="D1" s="2">
        <v>-4.5</v>
      </c>
      <c r="E1" s="2">
        <v>-3</v>
      </c>
      <c r="F1" s="2">
        <v>-1.5</v>
      </c>
      <c r="G1" s="2">
        <v>0</v>
      </c>
      <c r="H1" s="2">
        <v>1.5</v>
      </c>
      <c r="I1" s="2">
        <v>3</v>
      </c>
      <c r="J1" s="2">
        <v>4.5</v>
      </c>
      <c r="K1" s="2">
        <v>6</v>
      </c>
      <c r="L1" s="2">
        <v>7.5</v>
      </c>
      <c r="M1" s="1"/>
      <c r="N1" s="2" t="s">
        <v>4</v>
      </c>
      <c r="O1" s="2" t="s">
        <v>1</v>
      </c>
    </row>
    <row r="2" spans="1:15" ht="15.4" x14ac:dyDescent="0.45">
      <c r="A2" s="2">
        <v>-5</v>
      </c>
      <c r="B2" s="4">
        <f>(B$1)^2/($N$2)^2-($A2)^2/($O$2)^2</f>
        <v>50</v>
      </c>
      <c r="C2" s="4">
        <f t="shared" ref="C2:L12" si="0">(C$1)^2/($N$2)^2-($A2)^2/($O$2)^2</f>
        <v>29.75</v>
      </c>
      <c r="D2" s="4">
        <f t="shared" si="0"/>
        <v>14</v>
      </c>
      <c r="E2" s="4">
        <f t="shared" si="0"/>
        <v>2.75</v>
      </c>
      <c r="F2" s="4">
        <f t="shared" si="0"/>
        <v>-4</v>
      </c>
      <c r="G2" s="4">
        <f t="shared" si="0"/>
        <v>-6.25</v>
      </c>
      <c r="H2" s="4">
        <f t="shared" si="0"/>
        <v>-4</v>
      </c>
      <c r="I2" s="4">
        <f t="shared" si="0"/>
        <v>2.75</v>
      </c>
      <c r="J2" s="4">
        <f t="shared" si="0"/>
        <v>14</v>
      </c>
      <c r="K2" s="4">
        <f t="shared" si="0"/>
        <v>29.75</v>
      </c>
      <c r="L2" s="4">
        <f>(L$1)^2/($N$2)^2-($A2)^2/($O$2)^2</f>
        <v>50</v>
      </c>
      <c r="M2" s="1"/>
      <c r="N2" s="4">
        <v>1</v>
      </c>
      <c r="O2" s="4">
        <v>2</v>
      </c>
    </row>
    <row r="3" spans="1:15" ht="15.4" x14ac:dyDescent="0.45">
      <c r="A3" s="2">
        <v>-4</v>
      </c>
      <c r="B3" s="4">
        <f t="shared" ref="B3:B11" si="1">(B$1)^2/($N$2)^2-($A3)^2/($O$2)^2</f>
        <v>52.25</v>
      </c>
      <c r="C3" s="4">
        <f t="shared" si="0"/>
        <v>32</v>
      </c>
      <c r="D3" s="4">
        <f t="shared" si="0"/>
        <v>16.25</v>
      </c>
      <c r="E3" s="4">
        <f t="shared" si="0"/>
        <v>5</v>
      </c>
      <c r="F3" s="4">
        <f t="shared" si="0"/>
        <v>-1.75</v>
      </c>
      <c r="G3" s="4">
        <f t="shared" si="0"/>
        <v>-4</v>
      </c>
      <c r="H3" s="4">
        <f t="shared" si="0"/>
        <v>-1.75</v>
      </c>
      <c r="I3" s="4">
        <f t="shared" si="0"/>
        <v>5</v>
      </c>
      <c r="J3" s="4">
        <f t="shared" si="0"/>
        <v>16.25</v>
      </c>
      <c r="K3" s="4">
        <f t="shared" si="0"/>
        <v>32</v>
      </c>
      <c r="L3" s="4">
        <f t="shared" si="0"/>
        <v>52.25</v>
      </c>
      <c r="M3" s="1"/>
      <c r="N3" s="1"/>
      <c r="O3" s="1"/>
    </row>
    <row r="4" spans="1:15" ht="15.4" x14ac:dyDescent="0.45">
      <c r="A4" s="2">
        <v>-3</v>
      </c>
      <c r="B4" s="4">
        <f t="shared" si="1"/>
        <v>54</v>
      </c>
      <c r="C4" s="4">
        <f t="shared" si="0"/>
        <v>33.75</v>
      </c>
      <c r="D4" s="4">
        <f t="shared" si="0"/>
        <v>18</v>
      </c>
      <c r="E4" s="4">
        <f t="shared" si="0"/>
        <v>6.75</v>
      </c>
      <c r="F4" s="4">
        <f t="shared" si="0"/>
        <v>0</v>
      </c>
      <c r="G4" s="4">
        <f t="shared" si="0"/>
        <v>-2.25</v>
      </c>
      <c r="H4" s="4">
        <f t="shared" si="0"/>
        <v>0</v>
      </c>
      <c r="I4" s="4">
        <f t="shared" si="0"/>
        <v>6.75</v>
      </c>
      <c r="J4" s="4">
        <f t="shared" si="0"/>
        <v>18</v>
      </c>
      <c r="K4" s="4">
        <f t="shared" si="0"/>
        <v>33.75</v>
      </c>
      <c r="L4" s="4">
        <f t="shared" si="0"/>
        <v>54</v>
      </c>
      <c r="M4" s="1"/>
      <c r="N4" s="1"/>
      <c r="O4" s="1"/>
    </row>
    <row r="5" spans="1:15" ht="15.4" x14ac:dyDescent="0.45">
      <c r="A5" s="2">
        <v>-2</v>
      </c>
      <c r="B5" s="4">
        <f t="shared" si="1"/>
        <v>55.25</v>
      </c>
      <c r="C5" s="4">
        <f t="shared" si="0"/>
        <v>35</v>
      </c>
      <c r="D5" s="4">
        <f t="shared" si="0"/>
        <v>19.25</v>
      </c>
      <c r="E5" s="4">
        <f t="shared" si="0"/>
        <v>8</v>
      </c>
      <c r="F5" s="4">
        <f t="shared" si="0"/>
        <v>1.25</v>
      </c>
      <c r="G5" s="4">
        <f t="shared" si="0"/>
        <v>-1</v>
      </c>
      <c r="H5" s="4">
        <f t="shared" si="0"/>
        <v>1.25</v>
      </c>
      <c r="I5" s="4">
        <f t="shared" si="0"/>
        <v>8</v>
      </c>
      <c r="J5" s="4">
        <f t="shared" si="0"/>
        <v>19.25</v>
      </c>
      <c r="K5" s="4">
        <f t="shared" si="0"/>
        <v>35</v>
      </c>
      <c r="L5" s="4">
        <f t="shared" si="0"/>
        <v>55.25</v>
      </c>
      <c r="M5" s="1"/>
      <c r="N5" s="1"/>
      <c r="O5" s="1"/>
    </row>
    <row r="6" spans="1:15" ht="15.4" x14ac:dyDescent="0.45">
      <c r="A6" s="2">
        <v>-1</v>
      </c>
      <c r="B6" s="4">
        <f t="shared" si="1"/>
        <v>56</v>
      </c>
      <c r="C6" s="4">
        <f t="shared" si="0"/>
        <v>35.75</v>
      </c>
      <c r="D6" s="4">
        <f t="shared" si="0"/>
        <v>20</v>
      </c>
      <c r="E6" s="4">
        <f t="shared" si="0"/>
        <v>8.75</v>
      </c>
      <c r="F6" s="4">
        <f t="shared" si="0"/>
        <v>2</v>
      </c>
      <c r="G6" s="4">
        <f t="shared" si="0"/>
        <v>-0.25</v>
      </c>
      <c r="H6" s="4">
        <f t="shared" si="0"/>
        <v>2</v>
      </c>
      <c r="I6" s="4">
        <f t="shared" si="0"/>
        <v>8.75</v>
      </c>
      <c r="J6" s="4">
        <f t="shared" si="0"/>
        <v>20</v>
      </c>
      <c r="K6" s="4">
        <f t="shared" si="0"/>
        <v>35.75</v>
      </c>
      <c r="L6" s="4">
        <f t="shared" si="0"/>
        <v>56</v>
      </c>
      <c r="M6" s="1"/>
      <c r="N6" s="1"/>
      <c r="O6" s="1"/>
    </row>
    <row r="7" spans="1:15" ht="15.4" x14ac:dyDescent="0.45">
      <c r="A7" s="2">
        <v>0</v>
      </c>
      <c r="B7" s="4">
        <f t="shared" si="1"/>
        <v>56.25</v>
      </c>
      <c r="C7" s="4">
        <f t="shared" si="0"/>
        <v>36</v>
      </c>
      <c r="D7" s="4">
        <f t="shared" si="0"/>
        <v>20.25</v>
      </c>
      <c r="E7" s="4">
        <f t="shared" si="0"/>
        <v>9</v>
      </c>
      <c r="F7" s="4">
        <f t="shared" si="0"/>
        <v>2.25</v>
      </c>
      <c r="G7" s="4">
        <f t="shared" si="0"/>
        <v>0</v>
      </c>
      <c r="H7" s="4">
        <f t="shared" si="0"/>
        <v>2.25</v>
      </c>
      <c r="I7" s="4">
        <f t="shared" si="0"/>
        <v>9</v>
      </c>
      <c r="J7" s="4">
        <f t="shared" si="0"/>
        <v>20.25</v>
      </c>
      <c r="K7" s="4">
        <f t="shared" si="0"/>
        <v>36</v>
      </c>
      <c r="L7" s="4">
        <f t="shared" si="0"/>
        <v>56.25</v>
      </c>
      <c r="M7" s="1"/>
      <c r="N7" s="1"/>
      <c r="O7" s="1"/>
    </row>
    <row r="8" spans="1:15" ht="15.4" x14ac:dyDescent="0.45">
      <c r="A8" s="2">
        <v>1</v>
      </c>
      <c r="B8" s="4">
        <f t="shared" si="1"/>
        <v>56</v>
      </c>
      <c r="C8" s="4">
        <f t="shared" si="0"/>
        <v>35.75</v>
      </c>
      <c r="D8" s="4">
        <f t="shared" si="0"/>
        <v>20</v>
      </c>
      <c r="E8" s="4">
        <f t="shared" si="0"/>
        <v>8.75</v>
      </c>
      <c r="F8" s="4">
        <f t="shared" si="0"/>
        <v>2</v>
      </c>
      <c r="G8" s="4">
        <f t="shared" si="0"/>
        <v>-0.25</v>
      </c>
      <c r="H8" s="4">
        <f t="shared" si="0"/>
        <v>2</v>
      </c>
      <c r="I8" s="4">
        <f t="shared" si="0"/>
        <v>8.75</v>
      </c>
      <c r="J8" s="4">
        <f t="shared" si="0"/>
        <v>20</v>
      </c>
      <c r="K8" s="4">
        <f t="shared" si="0"/>
        <v>35.75</v>
      </c>
      <c r="L8" s="4">
        <f t="shared" si="0"/>
        <v>56</v>
      </c>
      <c r="M8" s="1"/>
      <c r="N8" s="1"/>
      <c r="O8" s="1"/>
    </row>
    <row r="9" spans="1:15" ht="15.4" x14ac:dyDescent="0.45">
      <c r="A9" s="2">
        <v>2</v>
      </c>
      <c r="B9" s="4">
        <f t="shared" si="1"/>
        <v>55.25</v>
      </c>
      <c r="C9" s="4">
        <f t="shared" si="0"/>
        <v>35</v>
      </c>
      <c r="D9" s="4">
        <f t="shared" si="0"/>
        <v>19.25</v>
      </c>
      <c r="E9" s="4">
        <f t="shared" si="0"/>
        <v>8</v>
      </c>
      <c r="F9" s="4">
        <f t="shared" si="0"/>
        <v>1.25</v>
      </c>
      <c r="G9" s="4">
        <f t="shared" si="0"/>
        <v>-1</v>
      </c>
      <c r="H9" s="4">
        <f t="shared" si="0"/>
        <v>1.25</v>
      </c>
      <c r="I9" s="4">
        <f t="shared" si="0"/>
        <v>8</v>
      </c>
      <c r="J9" s="4">
        <f t="shared" si="0"/>
        <v>19.25</v>
      </c>
      <c r="K9" s="4">
        <f t="shared" si="0"/>
        <v>35</v>
      </c>
      <c r="L9" s="4">
        <f t="shared" si="0"/>
        <v>55.25</v>
      </c>
      <c r="M9" s="1"/>
      <c r="N9" s="1"/>
      <c r="O9" s="1"/>
    </row>
    <row r="10" spans="1:15" ht="15.4" x14ac:dyDescent="0.45">
      <c r="A10" s="2">
        <v>3</v>
      </c>
      <c r="B10" s="4">
        <f t="shared" si="1"/>
        <v>54</v>
      </c>
      <c r="C10" s="4">
        <f t="shared" si="0"/>
        <v>33.75</v>
      </c>
      <c r="D10" s="4">
        <f t="shared" si="0"/>
        <v>18</v>
      </c>
      <c r="E10" s="4">
        <f t="shared" si="0"/>
        <v>6.75</v>
      </c>
      <c r="F10" s="4">
        <f t="shared" si="0"/>
        <v>0</v>
      </c>
      <c r="G10" s="4">
        <f t="shared" si="0"/>
        <v>-2.25</v>
      </c>
      <c r="H10" s="4">
        <f t="shared" si="0"/>
        <v>0</v>
      </c>
      <c r="I10" s="4">
        <f t="shared" si="0"/>
        <v>6.75</v>
      </c>
      <c r="J10" s="4">
        <f t="shared" si="0"/>
        <v>18</v>
      </c>
      <c r="K10" s="4">
        <f t="shared" si="0"/>
        <v>33.75</v>
      </c>
      <c r="L10" s="4">
        <f t="shared" si="0"/>
        <v>54</v>
      </c>
      <c r="M10" s="1"/>
      <c r="N10" s="1"/>
      <c r="O10" s="1"/>
    </row>
    <row r="11" spans="1:15" ht="15.4" x14ac:dyDescent="0.45">
      <c r="A11" s="2">
        <v>4</v>
      </c>
      <c r="B11" s="4">
        <f t="shared" si="1"/>
        <v>52.25</v>
      </c>
      <c r="C11" s="4">
        <f t="shared" si="0"/>
        <v>32</v>
      </c>
      <c r="D11" s="4">
        <f t="shared" si="0"/>
        <v>16.25</v>
      </c>
      <c r="E11" s="4">
        <f t="shared" si="0"/>
        <v>5</v>
      </c>
      <c r="F11" s="4">
        <f t="shared" si="0"/>
        <v>-1.75</v>
      </c>
      <c r="G11" s="4">
        <f t="shared" si="0"/>
        <v>-4</v>
      </c>
      <c r="H11" s="4">
        <f t="shared" si="0"/>
        <v>-1.75</v>
      </c>
      <c r="I11" s="4">
        <f t="shared" si="0"/>
        <v>5</v>
      </c>
      <c r="J11" s="4">
        <f t="shared" si="0"/>
        <v>16.25</v>
      </c>
      <c r="K11" s="4">
        <f t="shared" si="0"/>
        <v>32</v>
      </c>
      <c r="L11" s="4">
        <f t="shared" si="0"/>
        <v>52.25</v>
      </c>
      <c r="M11" s="1"/>
      <c r="N11" s="1"/>
      <c r="O11" s="1"/>
    </row>
    <row r="12" spans="1:15" ht="15.4" x14ac:dyDescent="0.45">
      <c r="A12" s="2">
        <v>5</v>
      </c>
      <c r="B12" s="4">
        <f>(B$1)^2/($N$2)^2-($A12)^2/($O$2)^2</f>
        <v>50</v>
      </c>
      <c r="C12" s="4">
        <f t="shared" si="0"/>
        <v>29.75</v>
      </c>
      <c r="D12" s="4">
        <f t="shared" si="0"/>
        <v>14</v>
      </c>
      <c r="E12" s="4">
        <f t="shared" si="0"/>
        <v>2.75</v>
      </c>
      <c r="F12" s="4">
        <f t="shared" si="0"/>
        <v>-4</v>
      </c>
      <c r="G12" s="4">
        <f t="shared" si="0"/>
        <v>-6.25</v>
      </c>
      <c r="H12" s="4">
        <f t="shared" si="0"/>
        <v>-4</v>
      </c>
      <c r="I12" s="4">
        <f t="shared" si="0"/>
        <v>2.75</v>
      </c>
      <c r="J12" s="4">
        <f t="shared" si="0"/>
        <v>14</v>
      </c>
      <c r="K12" s="4">
        <f t="shared" si="0"/>
        <v>29.75</v>
      </c>
      <c r="L12" s="4">
        <f>(L$1)^2/($N$2)^2-($A12)^2/($O$2)^2</f>
        <v>50</v>
      </c>
      <c r="M12" s="1"/>
      <c r="N12" s="1"/>
      <c r="O12" s="1"/>
    </row>
  </sheetData>
  <pageMargins left="0.7" right="0.7" top="0.75" bottom="0.75" header="0.3" footer="0.3"/>
  <pageSetup paperSize="9" orientation="portrait" r:id="rId1"/>
  <headerFooter differentFirst="1">
    <firstHeader>&amp;C&amp;"Times New Roman,обычный"&amp;12Крамбалев Сергей Дмитриевич, подгр. 1</first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3 + коэф.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Krambalev Sergey</dc:creator>
  <cp:lastModifiedBy>Krambalev Sergey</cp:lastModifiedBy>
  <dcterms:created xsi:type="dcterms:W3CDTF">2025-12-17T09:06:39Z</dcterms:created>
  <dcterms:modified xsi:type="dcterms:W3CDTF">2025-12-17T10:29:16Z</dcterms:modified>
</cp:coreProperties>
</file>